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423" firstSheet="0" activeTab="0" autoFilterDateGrouping="1"/>
  </bookViews>
  <sheets>
    <sheet name="G4- Attendance" sheetId="1" state="visible" r:id="rId1"/>
    <sheet name="G4- Marks" sheetId="2" state="visible" r:id="rId2"/>
    <sheet name="4 - Attendance" sheetId="3" state="visible" r:id="rId3"/>
    <sheet name="4 - Marks" sheetId="4" state="visible" r:id="rId4"/>
    <sheet name="4A - Attendance" sheetId="5" state="visible" r:id="rId5"/>
    <sheet name="4A - Marks" sheetId="6" state="visible" r:id="rId6"/>
    <sheet name="4B - Attendance" sheetId="7" state="visible" r:id="rId7"/>
    <sheet name="4B - Marks" sheetId="8" state="visible" r:id="rId8"/>
    <sheet name="4C - Attendance" sheetId="9" state="visible" r:id="rId9"/>
    <sheet name="4C - Marks" sheetId="10" state="visible" r:id="rId10"/>
    <sheet name="4D - Attendance" sheetId="11" state="visible" r:id="rId11"/>
    <sheet name="4D - Marks" sheetId="12" state="visible" r:id="rId12"/>
    <sheet name="4E - Attendance" sheetId="13" state="visible" r:id="rId13"/>
    <sheet name="4E - Marks" sheetId="14" state="visible" r:id="rId14"/>
    <sheet name="4F - Attendance" sheetId="15" state="visible" r:id="rId15"/>
    <sheet name="4F - Marks" sheetId="16" state="visible" r:id="rId1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8"/>
      <scheme val="minor"/>
    </font>
    <font>
      <name val="Calibri"/>
      <family val="2"/>
      <b val="1"/>
      <color theme="0"/>
      <sz val="11"/>
      <scheme val="minor"/>
    </font>
    <font>
      <name val="Arial Black"/>
      <family val="2"/>
      <color theme="0"/>
      <sz val="20"/>
    </font>
    <font>
      <name val="Calibri"/>
      <family val="2"/>
      <b val="1"/>
      <color theme="0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0"/>
      <sz val="24"/>
      <scheme val="minor"/>
    </font>
    <font>
      <name val="Calibri"/>
      <family val="2"/>
      <b val="1"/>
      <color rgb="FFF7E29A"/>
      <sz val="11"/>
      <scheme val="minor"/>
    </font>
    <font>
      <name val="Calibri"/>
      <family val="2"/>
      <color theme="0"/>
      <sz val="18"/>
      <scheme val="minor"/>
    </font>
    <font>
      <name val="Calibri"/>
      <family val="2"/>
      <color theme="0"/>
      <sz val="20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rgb="FFFFC000"/>
      <sz val="16"/>
      <scheme val="minor"/>
    </font>
    <font>
      <name val="Calibri"/>
      <family val="2"/>
      <b val="1"/>
      <color theme="0"/>
      <sz val="22"/>
      <scheme val="minor"/>
    </font>
    <font>
      <name val="Calibri"/>
      <family val="2"/>
      <color theme="0"/>
      <sz val="16"/>
      <scheme val="minor"/>
    </font>
  </fonts>
  <fills count="19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AB833A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7E29A"/>
      </left>
      <right style="thin">
        <color rgb="FFF7E29A"/>
      </right>
      <top style="thin">
        <color rgb="FFF7E29A"/>
      </top>
      <bottom style="thin">
        <color rgb="FFF7E29A"/>
      </bottom>
      <diagonal/>
    </border>
    <border>
      <left style="thin">
        <color rgb="FFF7E29A"/>
      </left>
      <right/>
      <top style="thin">
        <color rgb="FFF7E29A"/>
      </top>
      <bottom style="thin">
        <color rgb="FFF7E29A"/>
      </bottom>
      <diagonal/>
    </border>
    <border>
      <left/>
      <right/>
      <top style="thin">
        <color rgb="FFF7E29A"/>
      </top>
      <bottom style="thin">
        <color rgb="FFF7E29A"/>
      </bottom>
      <diagonal/>
    </border>
    <border>
      <left/>
      <right style="thin">
        <color rgb="FFF7E29A"/>
      </right>
      <top style="thin">
        <color rgb="FFF7E29A"/>
      </top>
      <bottom style="thin">
        <color rgb="FFF7E29A"/>
      </bottom>
      <diagonal/>
    </border>
    <border>
      <left style="medium">
        <color rgb="FFF7E29A"/>
      </left>
      <right/>
      <top style="medium">
        <color rgb="FFF7E29A"/>
      </top>
      <bottom/>
      <diagonal/>
    </border>
    <border>
      <left/>
      <right/>
      <top style="medium">
        <color rgb="FFF7E29A"/>
      </top>
      <bottom/>
      <diagonal/>
    </border>
    <border>
      <left style="medium">
        <color rgb="FFF7E29A"/>
      </left>
      <right/>
      <top style="medium">
        <color rgb="FFF7E29A"/>
      </top>
      <bottom style="medium">
        <color rgb="FFF7E29A"/>
      </bottom>
      <diagonal/>
    </border>
    <border>
      <left/>
      <right style="thin">
        <color rgb="FFF7E29A"/>
      </right>
      <top/>
      <bottom style="thin">
        <color rgb="FFF7E29A"/>
      </bottom>
      <diagonal/>
    </border>
    <border>
      <left style="thin">
        <color rgb="FFF7E29A"/>
      </left>
      <right style="thin">
        <color rgb="FFF7E29A"/>
      </right>
      <top/>
      <bottom style="thin">
        <color rgb="FFF7E29A"/>
      </bottom>
      <diagonal/>
    </border>
    <border>
      <left style="medium">
        <color rgb="FFF7E29A"/>
      </left>
      <right/>
      <top/>
      <bottom/>
      <diagonal/>
    </border>
    <border>
      <left/>
      <right/>
      <top style="thin">
        <color rgb="FFF7E29A"/>
      </top>
      <bottom/>
      <diagonal/>
    </border>
    <border>
      <left/>
      <right style="thin">
        <color rgb="FFF7E29A"/>
      </right>
      <top style="thin">
        <color rgb="FFF7E29A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0" fillId="7" borderId="0" applyAlignment="1" pivotButton="0" quotePrefix="0" xfId="0">
      <alignment vertical="center"/>
    </xf>
    <xf numFmtId="0" fontId="0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vertical="center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7" borderId="1" applyAlignment="1" applyProtection="1" pivotButton="0" quotePrefix="0" xfId="0">
      <alignment vertical="center"/>
      <protection locked="0" hidden="0"/>
    </xf>
    <xf numFmtId="0" fontId="0" fillId="10" borderId="1" applyAlignment="1" applyProtection="1" pivotButton="0" quotePrefix="0" xfId="0">
      <alignment horizontal="center" vertical="center"/>
      <protection locked="0" hidden="0"/>
    </xf>
    <xf numFmtId="0" fontId="0" fillId="7" borderId="2" applyAlignment="1" applyProtection="1" pivotButton="0" quotePrefix="0" xfId="0">
      <alignment vertical="center"/>
      <protection locked="0" hidden="0"/>
    </xf>
    <xf numFmtId="1" fontId="0" fillId="10" borderId="1" applyAlignment="1" pivotButton="0" quotePrefix="0" xfId="0">
      <alignment horizontal="center" vertical="center"/>
    </xf>
    <xf numFmtId="0" fontId="0" fillId="11" borderId="1" applyAlignment="1" applyProtection="1" pivotButton="0" quotePrefix="0" xfId="0">
      <alignment horizontal="center" vertical="center"/>
      <protection locked="0" hidden="0"/>
    </xf>
    <xf numFmtId="1" fontId="0" fillId="11" borderId="1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0" fillId="9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1" fontId="0" fillId="16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16" fontId="11" fillId="1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8" fillId="7" borderId="0" applyAlignment="1" pivotButton="0" quotePrefix="0" xfId="0">
      <alignment vertical="center"/>
    </xf>
    <xf numFmtId="16" fontId="9" fillId="1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18" borderId="0" applyAlignment="1" pivotButton="0" quotePrefix="0" xfId="0">
      <alignment vertical="center"/>
    </xf>
    <xf numFmtId="0" fontId="1" fillId="18" borderId="0" applyAlignment="1" pivotButton="0" quotePrefix="0" xfId="0">
      <alignment horizontal="center" vertical="center"/>
    </xf>
    <xf numFmtId="0" fontId="12" fillId="18" borderId="0" applyAlignment="1" pivotButton="0" quotePrefix="0" xfId="0">
      <alignment horizontal="right" vertical="center"/>
    </xf>
    <xf numFmtId="0" fontId="12" fillId="18" borderId="10" applyAlignment="1" applyProtection="1" pivotButton="0" quotePrefix="0" xfId="0">
      <alignment vertical="center"/>
      <protection locked="0" hidden="0"/>
    </xf>
    <xf numFmtId="0" fontId="14" fillId="18" borderId="0" applyAlignment="1" pivotButton="0" quotePrefix="0" xfId="0">
      <alignment vertical="center"/>
    </xf>
    <xf numFmtId="0" fontId="16" fillId="18" borderId="0" applyAlignment="1" pivotButton="0" quotePrefix="0" xfId="0">
      <alignment vertical="center"/>
    </xf>
    <xf numFmtId="0" fontId="1" fillId="18" borderId="0" applyAlignment="1" pivotButton="0" quotePrefix="0" xfId="0">
      <alignment vertical="center"/>
    </xf>
    <xf numFmtId="0" fontId="5" fillId="18" borderId="0" applyAlignment="1" pivotButton="0" quotePrefix="0" xfId="0">
      <alignment vertical="center"/>
    </xf>
    <xf numFmtId="0" fontId="12" fillId="18" borderId="4" applyAlignment="1" applyProtection="1" pivotButton="0" quotePrefix="0" xfId="0">
      <alignment horizontal="left" vertical="center"/>
      <protection locked="0" hidden="0"/>
    </xf>
    <xf numFmtId="0" fontId="13" fillId="18" borderId="0" applyAlignment="1" pivotButton="0" quotePrefix="0" xfId="0">
      <alignment vertical="center"/>
    </xf>
    <xf numFmtId="0" fontId="17" fillId="18" borderId="0" applyAlignment="1" pivotButton="0" quotePrefix="0" xfId="0">
      <alignment vertical="center"/>
    </xf>
    <xf numFmtId="0" fontId="7" fillId="18" borderId="0" applyAlignment="1" pivotButton="0" quotePrefix="0" xfId="0">
      <alignment vertical="center"/>
    </xf>
    <xf numFmtId="0" fontId="10" fillId="18" borderId="0" applyAlignment="1" pivotButton="0" quotePrefix="0" xfId="0">
      <alignment horizontal="left" vertical="center"/>
    </xf>
    <xf numFmtId="0" fontId="12" fillId="18" borderId="0" applyAlignment="1" pivotButton="0" quotePrefix="0" xfId="0">
      <alignment vertical="center"/>
    </xf>
    <xf numFmtId="0" fontId="13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vertical="center"/>
    </xf>
    <xf numFmtId="0" fontId="15" fillId="18" borderId="8" applyAlignment="1" pivotButton="0" quotePrefix="0" xfId="0">
      <alignment horizontal="left" vertical="center"/>
    </xf>
    <xf numFmtId="0" fontId="15" fillId="18" borderId="9" applyAlignment="1" pivotButton="0" quotePrefix="0" xfId="0">
      <alignment horizontal="left" vertical="center"/>
    </xf>
    <xf numFmtId="0" fontId="4" fillId="18" borderId="9" applyAlignment="1" pivotButton="0" quotePrefix="0" xfId="0">
      <alignment horizontal="left" vertical="center"/>
    </xf>
    <xf numFmtId="0" fontId="0" fillId="18" borderId="0" applyAlignment="1" pivotButton="0" quotePrefix="0" xfId="0">
      <alignment horizontal="left" vertical="center"/>
    </xf>
    <xf numFmtId="0" fontId="15" fillId="18" borderId="13" applyAlignment="1" pivotButton="0" quotePrefix="0" xfId="0">
      <alignment horizontal="left" vertical="center"/>
    </xf>
    <xf numFmtId="0" fontId="15" fillId="18" borderId="0" applyAlignment="1" pivotButton="0" quotePrefix="0" xfId="0">
      <alignment horizontal="left" vertical="center"/>
    </xf>
    <xf numFmtId="0" fontId="6" fillId="18" borderId="0" applyAlignment="1" pivotButton="0" quotePrefix="0" xfId="0">
      <alignment horizontal="center" vertical="center"/>
    </xf>
    <xf numFmtId="0" fontId="6" fillId="18" borderId="0" applyAlignment="1" pivotButton="0" quotePrefix="0" xfId="0">
      <alignment vertical="center"/>
    </xf>
    <xf numFmtId="0" fontId="0" fillId="18" borderId="0" applyAlignment="1" applyProtection="1" pivotButton="0" quotePrefix="0" xfId="0">
      <alignment vertical="center"/>
      <protection locked="0" hidden="0"/>
    </xf>
    <xf numFmtId="0" fontId="4" fillId="18" borderId="1" applyAlignment="1" pivotButton="0" quotePrefix="0" xfId="0">
      <alignment horizontal="center" vertical="center"/>
    </xf>
    <xf numFmtId="0" fontId="4" fillId="18" borderId="2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/>
    </xf>
    <xf numFmtId="0" fontId="6" fillId="18" borderId="4" applyAlignment="1" pivotButton="0" quotePrefix="0" xfId="0">
      <alignment horizontal="right" vertical="center"/>
    </xf>
    <xf numFmtId="0" fontId="12" fillId="18" borderId="12" applyAlignment="1" pivotButton="0" quotePrefix="0" xfId="0">
      <alignment horizontal="left" vertical="center"/>
    </xf>
    <xf numFmtId="0" fontId="12" fillId="18" borderId="4" applyAlignment="1" pivotButton="0" quotePrefix="0" xfId="0">
      <alignment horizontal="left" vertical="center"/>
    </xf>
    <xf numFmtId="0" fontId="12" fillId="18" borderId="5" applyAlignment="1" pivotButton="0" quotePrefix="0" xfId="0">
      <alignment horizontal="left" vertical="center"/>
    </xf>
    <xf numFmtId="0" fontId="20" fillId="18" borderId="0" applyAlignment="1" pivotButton="0" quotePrefix="0" xfId="0">
      <alignment horizontal="left" vertical="center"/>
    </xf>
    <xf numFmtId="0" fontId="12" fillId="18" borderId="0" applyAlignment="1" pivotButton="0" quotePrefix="0" xfId="0">
      <alignment horizontal="left" vertical="center"/>
    </xf>
    <xf numFmtId="0" fontId="19" fillId="18" borderId="0" applyAlignment="1" pivotButton="0" quotePrefix="0" xfId="0">
      <alignment vertical="center"/>
    </xf>
    <xf numFmtId="0" fontId="18" fillId="18" borderId="0" applyAlignment="1" pivotButton="0" quotePrefix="0" xfId="0">
      <alignment vertical="center"/>
    </xf>
    <xf numFmtId="0" fontId="15" fillId="18" borderId="0" applyAlignment="1" pivotButton="0" quotePrefix="0" xfId="0">
      <alignment vertical="center" wrapText="1"/>
    </xf>
    <xf numFmtId="0" fontId="4" fillId="18" borderId="0" applyAlignment="1" pivotButton="0" quotePrefix="0" xfId="0">
      <alignment vertical="center" wrapText="1"/>
    </xf>
    <xf numFmtId="0" fontId="8" fillId="18" borderId="0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21" fillId="6" borderId="0" applyAlignment="1" pivotButton="0" quotePrefix="0" xfId="0">
      <alignment vertical="center"/>
    </xf>
    <xf numFmtId="0" fontId="12" fillId="5" borderId="0" applyAlignment="1" pivotButton="0" quotePrefix="0" xfId="0">
      <alignment vertical="center"/>
    </xf>
    <xf numFmtId="0" fontId="21" fillId="5" borderId="0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0" fontId="21" fillId="2" borderId="0" applyAlignment="1" pivotButton="0" quotePrefix="0" xfId="0">
      <alignment vertical="center"/>
    </xf>
    <xf numFmtId="0" fontId="11" fillId="18" borderId="3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vertical="center"/>
    </xf>
    <xf numFmtId="0" fontId="9" fillId="13" borderId="1" applyAlignment="1" pivotButton="0" quotePrefix="0" xfId="0">
      <alignment horizontal="center" wrapText="1"/>
    </xf>
    <xf numFmtId="0" fontId="8" fillId="3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vertical="center"/>
    </xf>
    <xf numFmtId="1" fontId="0" fillId="12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16" fontId="9" fillId="4" borderId="2" applyAlignment="1" pivotButton="0" quotePrefix="0" xfId="0">
      <alignment horizontal="center" vertical="center"/>
    </xf>
    <xf numFmtId="16" fontId="9" fillId="4" borderId="3" applyAlignment="1" pivotButton="0" quotePrefix="0" xfId="0">
      <alignment horizontal="center" vertical="center"/>
    </xf>
    <xf numFmtId="16" fontId="9" fillId="4" borderId="1" applyAlignment="1" pivotButton="0" quotePrefix="0" xfId="0">
      <alignment horizontal="center" vertical="center"/>
    </xf>
    <xf numFmtId="0" fontId="12" fillId="18" borderId="5" applyAlignment="1" pivotButton="0" quotePrefix="0" xfId="0">
      <alignment horizontal="right" vertical="center"/>
    </xf>
    <xf numFmtId="0" fontId="12" fillId="18" borderId="6" applyAlignment="1" pivotButton="0" quotePrefix="0" xfId="0">
      <alignment horizontal="right" vertical="center"/>
    </xf>
    <xf numFmtId="0" fontId="12" fillId="18" borderId="7" applyAlignment="1" pivotButton="0" quotePrefix="0" xfId="0">
      <alignment horizontal="right" vertical="center"/>
    </xf>
    <xf numFmtId="0" fontId="12" fillId="18" borderId="4" applyAlignment="1" pivotButton="0" quotePrefix="0" xfId="0">
      <alignment horizontal="right" vertical="center"/>
    </xf>
    <xf numFmtId="0" fontId="6" fillId="18" borderId="5" applyAlignment="1" pivotButton="0" quotePrefix="0" xfId="0">
      <alignment horizontal="right" vertical="center"/>
    </xf>
    <xf numFmtId="0" fontId="6" fillId="18" borderId="6" applyAlignment="1" pivotButton="0" quotePrefix="0" xfId="0">
      <alignment horizontal="right" vertical="center"/>
    </xf>
    <xf numFmtId="0" fontId="6" fillId="18" borderId="11" applyAlignment="1" pivotButton="0" quotePrefix="0" xfId="0">
      <alignment horizontal="right" vertical="center"/>
    </xf>
    <xf numFmtId="0" fontId="6" fillId="18" borderId="4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33</col>
      <colOff>317500</colOff>
      <row>0</row>
      <rowOff>0</rowOff>
    </from>
    <to>
      <col>34</col>
      <colOff>1205447</colOff>
      <row>3</row>
      <rowOff>267607</rowOff>
    </to>
    <pic>
      <nvPicPr>
        <cNvPr id="2" name="Picture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8621375" y="0"/>
          <a:ext cx="1634072" cy="1251857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545944</colOff>
      <row>0</row>
      <rowOff>34848</rowOff>
    </from>
    <to>
      <col>8</col>
      <colOff>530566</colOff>
      <row>4</row>
      <rowOff>7940</rowOff>
    </to>
    <pic>
      <nvPicPr>
        <cNvPr id="2" name="Picture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7236676" y="34848"/>
          <a:ext cx="1390140" cy="106498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AI59"/>
  <sheetViews>
    <sheetView tabSelected="1" zoomScale="60" zoomScaleNormal="60" workbookViewId="0">
      <pane xSplit="4" ySplit="8" topLeftCell="E9" activePane="bottomRight" state="frozen"/>
      <selection pane="bottomRight" activeCell="E3" sqref="E3"/>
      <selection pane="bottomLeft" activeCell="A9" sqref="A9"/>
      <selection pane="topRight" activeCell="E1" sqref="E1"/>
    </sheetView>
  </sheetViews>
  <sheetFormatPr baseColWidth="8" defaultColWidth="9.140625" defaultRowHeight="15"/>
  <cols>
    <col width="3.140625" customWidth="1" style="1" min="1" max="1"/>
    <col width="4.28515625" customWidth="1" style="2" min="2" max="2"/>
    <col width="12.85546875" bestFit="1" customWidth="1" style="2" min="3" max="3"/>
    <col width="38.5703125" customWidth="1" style="1" min="4" max="4"/>
    <col width="5.7109375" customWidth="1" style="1" min="5" max="10"/>
    <col width="7.85546875" bestFit="1" customWidth="1" style="1" min="11" max="11"/>
    <col width="5.7109375" customWidth="1" style="1" min="12" max="15"/>
    <col width="7.140625" customWidth="1" style="1" min="16" max="16"/>
    <col width="5.7109375" customWidth="1" style="1" min="17" max="20"/>
    <col width="7.85546875" bestFit="1" customWidth="1" style="1" min="21" max="21"/>
    <col width="5.7109375" customWidth="1" style="1" min="22" max="25"/>
    <col width="7.85546875" bestFit="1" customWidth="1" style="1" min="26" max="26"/>
    <col width="13" customWidth="1" style="1" min="27" max="27"/>
    <col width="12.28515625" customWidth="1" style="1" min="28" max="28"/>
    <col width="11" customWidth="1" style="1" min="29" max="29"/>
    <col width="12.28515625" customWidth="1" style="1" min="30" max="30"/>
    <col width="8" customWidth="1" style="1" min="31" max="31"/>
    <col width="14.7109375" customWidth="1" style="1" min="32" max="32"/>
    <col width="10.5703125" customWidth="1" style="1" min="33" max="33"/>
    <col width="11.28515625" customWidth="1" style="1" min="34" max="34"/>
    <col width="23.5703125" customWidth="1" style="1" min="35" max="35"/>
    <col width="9.140625" customWidth="1" style="1" min="36" max="16384"/>
  </cols>
  <sheetData>
    <row r="1" ht="25.5" customHeight="1" thickBot="1">
      <c r="A1" s="26" t="n"/>
      <c r="B1" s="27" t="n"/>
      <c r="C1" s="28" t="inlineStr">
        <is>
          <t>Section:</t>
        </is>
      </c>
      <c r="D1" s="29" t="n"/>
      <c r="E1" s="30" t="inlineStr">
        <is>
          <t>Attendance &amp; Effort Sheet</t>
        </is>
      </c>
      <c r="F1" s="26" t="n"/>
      <c r="G1" s="26" t="n"/>
      <c r="H1" s="26" t="n"/>
      <c r="I1" s="31" t="n"/>
      <c r="J1" s="31" t="n"/>
      <c r="K1" s="31" t="n"/>
      <c r="L1" s="31" t="n"/>
      <c r="M1" s="31" t="n"/>
      <c r="N1" s="32" t="n"/>
      <c r="O1" s="32" t="n"/>
      <c r="P1" s="65" t="inlineStr">
        <is>
          <t>P=Present</t>
        </is>
      </c>
      <c r="Q1" s="66" t="n"/>
      <c r="R1" s="66" t="n"/>
      <c r="S1" s="26" t="n"/>
      <c r="T1" s="26" t="n"/>
      <c r="U1" s="32" t="n"/>
      <c r="V1" s="32" t="n"/>
      <c r="W1" s="32" t="n"/>
      <c r="X1" s="32" t="n"/>
      <c r="Y1" s="32" t="n"/>
      <c r="Z1" s="32" t="n"/>
      <c r="AA1" s="33" t="n"/>
      <c r="AB1" s="26" t="n"/>
      <c r="AC1" s="26" t="n"/>
      <c r="AD1" s="26" t="n"/>
      <c r="AE1" s="26" t="n"/>
      <c r="AF1" s="33" t="n"/>
      <c r="AG1" s="26" t="n"/>
      <c r="AH1" s="26" t="n"/>
      <c r="AI1" s="26" t="n"/>
    </row>
    <row r="2" ht="24" customHeight="1">
      <c r="A2" s="89" t="inlineStr">
        <is>
          <t>Teacher Name:</t>
        </is>
      </c>
      <c r="B2" s="94" t="n"/>
      <c r="C2" s="95" t="n"/>
      <c r="D2" s="34" t="n"/>
      <c r="E2" s="35" t="inlineStr">
        <is>
          <t xml:space="preserve">Computing, Creative Design and Innovation </t>
        </is>
      </c>
      <c r="F2" s="26" t="n"/>
      <c r="G2" s="26" t="n"/>
      <c r="H2" s="26" t="n"/>
      <c r="I2" s="31" t="n"/>
      <c r="J2" s="31" t="n"/>
      <c r="K2" s="31" t="n"/>
      <c r="L2" s="31" t="n"/>
      <c r="M2" s="31" t="n"/>
      <c r="N2" s="32" t="n"/>
      <c r="O2" s="32" t="n"/>
      <c r="P2" s="67" t="inlineStr">
        <is>
          <t>A=Absent</t>
        </is>
      </c>
      <c r="Q2" s="68" t="n"/>
      <c r="R2" s="68" t="n"/>
      <c r="S2" s="26" t="n"/>
      <c r="T2" s="26" t="n"/>
      <c r="U2" s="36" t="n"/>
      <c r="V2" s="36" t="n"/>
      <c r="W2" s="36" t="n"/>
      <c r="X2" s="36" t="n"/>
      <c r="Y2" s="36" t="n"/>
      <c r="Z2" s="36" t="n"/>
      <c r="AA2" s="37" t="n"/>
      <c r="AB2" s="37" t="n"/>
      <c r="AC2" s="37" t="n"/>
      <c r="AD2" s="37" t="n"/>
      <c r="AE2" s="37" t="n"/>
      <c r="AF2" s="26" t="n"/>
      <c r="AG2" s="26" t="n"/>
      <c r="AH2" s="26" t="n"/>
      <c r="AI2" s="26" t="n"/>
    </row>
    <row r="3" ht="29.25" customHeight="1">
      <c r="A3" s="89" t="inlineStr">
        <is>
          <t>School ID:</t>
        </is>
      </c>
      <c r="B3" s="94" t="n"/>
      <c r="C3" s="95" t="n"/>
      <c r="D3" s="34" t="n"/>
      <c r="E3" s="38" t="inlineStr">
        <is>
          <t>Grade 4</t>
        </is>
      </c>
      <c r="F3" s="26" t="n"/>
      <c r="G3" s="26" t="n"/>
      <c r="H3" s="26" t="n"/>
      <c r="I3" s="26" t="n"/>
      <c r="J3" s="39" t="n"/>
      <c r="K3" s="31" t="n"/>
      <c r="L3" s="31" t="n"/>
      <c r="M3" s="31" t="n"/>
      <c r="N3" s="36" t="n"/>
      <c r="O3" s="36" t="n"/>
      <c r="P3" s="69" t="inlineStr">
        <is>
          <t>L=Late</t>
        </is>
      </c>
      <c r="Q3" s="70" t="n"/>
      <c r="R3" s="70" t="n"/>
      <c r="S3" s="26" t="n"/>
      <c r="T3" s="26" t="n"/>
      <c r="U3" s="36" t="n"/>
      <c r="V3" s="36" t="n"/>
      <c r="W3" s="36" t="n"/>
      <c r="X3" s="36" t="n"/>
      <c r="Y3" s="36" t="n"/>
      <c r="Z3" s="36" t="n"/>
      <c r="AA3" s="37" t="n"/>
      <c r="AB3" s="37" t="n"/>
      <c r="AC3" s="37" t="n"/>
      <c r="AD3" s="37" t="n"/>
      <c r="AE3" s="37" t="n"/>
      <c r="AF3" s="26" t="n"/>
      <c r="AG3" s="26" t="n"/>
      <c r="AH3" s="26" t="n"/>
      <c r="AI3" s="26" t="n"/>
    </row>
    <row r="4" ht="24.75" customHeight="1" thickBot="1">
      <c r="A4" s="89" t="inlineStr">
        <is>
          <t>School Name:</t>
        </is>
      </c>
      <c r="B4" s="94" t="n"/>
      <c r="C4" s="95" t="n"/>
      <c r="D4" s="34" t="n"/>
      <c r="E4" s="40" t="inlineStr">
        <is>
          <t>Term 2 - 2024/2025</t>
        </is>
      </c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41" t="n"/>
      <c r="AB4" s="41" t="n"/>
      <c r="AC4" s="41" t="n"/>
      <c r="AD4" s="41" t="n"/>
      <c r="AE4" s="41" t="n"/>
      <c r="AF4" s="41" t="n"/>
      <c r="AG4" s="41" t="n"/>
      <c r="AH4" s="26" t="n"/>
      <c r="AI4" s="26" t="n"/>
    </row>
    <row r="5" ht="23.25" customHeight="1">
      <c r="A5" s="89" t="inlineStr">
        <is>
          <t>Emirate/Area:</t>
        </is>
      </c>
      <c r="B5" s="94" t="n"/>
      <c r="C5" s="95" t="n"/>
      <c r="D5" s="34" t="n"/>
      <c r="E5" s="42" t="inlineStr">
        <is>
          <t>1. Student 'attendance' and 'effort' is part of the total of the School-Based mark. Please ensure that you record all attendance here.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5" t="n"/>
      <c r="AC5" s="45" t="n"/>
      <c r="AD5" s="45" t="n"/>
      <c r="AE5" s="45" t="n"/>
      <c r="AF5" s="45" t="n"/>
      <c r="AG5" s="45" t="n"/>
      <c r="AH5" s="45" t="n"/>
      <c r="AI5" s="45" t="n"/>
    </row>
    <row r="6" ht="24.75" customHeight="1">
      <c r="A6" s="89" t="inlineStr">
        <is>
          <t>Council:</t>
        </is>
      </c>
      <c r="B6" s="94" t="n"/>
      <c r="C6" s="95" t="n"/>
      <c r="D6" s="34" t="n"/>
      <c r="E6" s="46" t="inlineStr">
        <is>
          <t>2. Consult your principal for late/absent policy</t>
        </is>
      </c>
      <c r="F6" s="47" t="n"/>
      <c r="G6" s="47" t="n"/>
      <c r="H6" s="47" t="n"/>
      <c r="I6" s="47" t="n"/>
      <c r="J6" s="47" t="n"/>
      <c r="K6" s="47" t="n"/>
      <c r="L6" s="47" t="n"/>
      <c r="M6" s="47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26" t="n"/>
      <c r="AC6" s="26" t="n"/>
      <c r="AD6" s="26" t="n"/>
      <c r="AE6" s="26" t="n"/>
      <c r="AF6" s="26" t="n"/>
      <c r="AG6" s="26" t="n"/>
      <c r="AH6" s="26" t="n"/>
      <c r="AI6" s="26" t="n"/>
    </row>
    <row r="7" ht="18.75" customHeight="1">
      <c r="A7" s="32" t="n"/>
      <c r="B7" s="27" t="n"/>
      <c r="C7" s="48" t="n"/>
      <c r="D7" s="49" t="n"/>
      <c r="E7" s="82" t="inlineStr">
        <is>
          <t>Week 1</t>
        </is>
      </c>
      <c r="F7" s="96" t="n"/>
      <c r="G7" s="81" t="inlineStr">
        <is>
          <t>Week 2</t>
        </is>
      </c>
      <c r="H7" s="96" t="n"/>
      <c r="I7" s="82" t="inlineStr">
        <is>
          <t>Week 3</t>
        </is>
      </c>
      <c r="J7" s="96" t="n"/>
      <c r="K7" s="20" t="inlineStr">
        <is>
          <t>Effort</t>
        </is>
      </c>
      <c r="L7" s="81" t="inlineStr">
        <is>
          <t>Week 4</t>
        </is>
      </c>
      <c r="M7" s="96" t="n"/>
      <c r="N7" s="82" t="inlineStr">
        <is>
          <t>Week 5</t>
        </is>
      </c>
      <c r="O7" s="96" t="n"/>
      <c r="P7" s="20" t="inlineStr">
        <is>
          <t>Effort</t>
        </is>
      </c>
      <c r="Q7" s="81" t="inlineStr">
        <is>
          <t>Week 6</t>
        </is>
      </c>
      <c r="R7" s="96" t="n"/>
      <c r="S7" s="82" t="inlineStr">
        <is>
          <t>Week 7</t>
        </is>
      </c>
      <c r="T7" s="96" t="n"/>
      <c r="U7" s="20" t="inlineStr">
        <is>
          <t>Effort</t>
        </is>
      </c>
      <c r="V7" s="81" t="inlineStr">
        <is>
          <t>Week 8</t>
        </is>
      </c>
      <c r="W7" s="96" t="n"/>
      <c r="X7" s="82" t="inlineStr">
        <is>
          <t>Week 9</t>
        </is>
      </c>
      <c r="Y7" s="96" t="n"/>
      <c r="Z7" s="20" t="inlineStr">
        <is>
          <t>Effort</t>
        </is>
      </c>
      <c r="AA7" s="20" t="inlineStr">
        <is>
          <t>Avg</t>
        </is>
      </c>
      <c r="AB7" s="26" t="n"/>
      <c r="AC7" s="26" t="n"/>
      <c r="AD7" s="26" t="n"/>
      <c r="AE7" s="26" t="n"/>
      <c r="AF7" s="26" t="n"/>
      <c r="AG7" s="26" t="n"/>
      <c r="AH7" s="26" t="n"/>
      <c r="AI7" s="26" t="n"/>
    </row>
    <row r="8" ht="50.25" customHeight="1">
      <c r="A8" s="26" t="n"/>
      <c r="B8" s="51" t="inlineStr">
        <is>
          <t>No</t>
        </is>
      </c>
      <c r="C8" s="51" t="inlineStr">
        <is>
          <t>Student #</t>
        </is>
      </c>
      <c r="D8" s="52" t="inlineStr">
        <is>
          <t>Student Name</t>
        </is>
      </c>
      <c r="E8" s="85" t="n">
        <v>45663</v>
      </c>
      <c r="F8" s="96" t="n"/>
      <c r="G8" s="85" t="n">
        <v>45670</v>
      </c>
      <c r="H8" s="96" t="n"/>
      <c r="I8" s="85" t="n">
        <v>45677</v>
      </c>
      <c r="J8" s="96" t="n"/>
      <c r="K8" s="24" t="inlineStr">
        <is>
          <t>10M</t>
        </is>
      </c>
      <c r="L8" s="85" t="n">
        <v>45684</v>
      </c>
      <c r="M8" s="96" t="n"/>
      <c r="N8" s="85" t="n">
        <v>45691</v>
      </c>
      <c r="O8" s="96" t="n"/>
      <c r="P8" s="24" t="inlineStr">
        <is>
          <t>10M</t>
        </is>
      </c>
      <c r="Q8" s="85" t="n">
        <v>45698</v>
      </c>
      <c r="R8" s="96" t="n"/>
      <c r="S8" s="85" t="n">
        <v>45705</v>
      </c>
      <c r="T8" s="96" t="n"/>
      <c r="U8" s="24" t="inlineStr">
        <is>
          <t>10M</t>
        </is>
      </c>
      <c r="V8" s="85" t="n">
        <v>45712</v>
      </c>
      <c r="W8" s="96" t="n"/>
      <c r="X8" s="85" t="n">
        <v>45719</v>
      </c>
      <c r="Y8" s="96" t="n"/>
      <c r="Z8" s="24" t="inlineStr">
        <is>
          <t>10M</t>
        </is>
      </c>
      <c r="AA8" s="21" t="inlineStr">
        <is>
          <t>Effort</t>
        </is>
      </c>
      <c r="AB8" s="71" t="inlineStr">
        <is>
          <t>#Present</t>
        </is>
      </c>
      <c r="AC8" s="72" t="inlineStr">
        <is>
          <t>#Late</t>
        </is>
      </c>
      <c r="AD8" s="72" t="inlineStr">
        <is>
          <t>#Absence</t>
        </is>
      </c>
      <c r="AE8" s="73" t="inlineStr">
        <is>
          <t>Tot Att</t>
        </is>
      </c>
      <c r="AF8" s="73" t="inlineStr">
        <is>
          <t>Attendance Mark (10)</t>
        </is>
      </c>
      <c r="AG8" s="73" t="inlineStr">
        <is>
          <t>Effort Mark (10)</t>
        </is>
      </c>
      <c r="AH8" s="73" t="inlineStr">
        <is>
          <t>Total Marks (20)</t>
        </is>
      </c>
      <c r="AI8" s="74" t="inlineStr">
        <is>
          <t>Comments</t>
        </is>
      </c>
    </row>
    <row r="9">
      <c r="A9" s="50" t="n"/>
      <c r="B9" s="4" t="n">
        <v>1</v>
      </c>
      <c r="C9" s="4" t="n">
        <v>1</v>
      </c>
      <c r="D9" s="7" t="inlineStr">
        <is>
          <t>Layla  Abdulla</t>
        </is>
      </c>
      <c r="E9" s="15" t="inlineStr">
        <is>
          <t>NA</t>
        </is>
      </c>
      <c r="F9" s="15" t="inlineStr">
        <is>
          <t>NA</t>
        </is>
      </c>
      <c r="G9" s="4" t="inlineStr">
        <is>
          <t>P</t>
        </is>
      </c>
      <c r="H9" s="4" t="inlineStr">
        <is>
          <t>P</t>
        </is>
      </c>
      <c r="I9" s="4" t="inlineStr">
        <is>
          <t>P</t>
        </is>
      </c>
      <c r="J9" s="4" t="inlineStr">
        <is>
          <t>P</t>
        </is>
      </c>
      <c r="K9" s="9" t="n">
        <v>10</v>
      </c>
      <c r="L9" s="4" t="inlineStr">
        <is>
          <t>P</t>
        </is>
      </c>
      <c r="M9" s="4" t="inlineStr">
        <is>
          <t>P</t>
        </is>
      </c>
      <c r="N9" s="4" t="inlineStr">
        <is>
          <t>P</t>
        </is>
      </c>
      <c r="O9" s="4" t="inlineStr">
        <is>
          <t>P</t>
        </is>
      </c>
      <c r="P9" s="9" t="n">
        <v>10</v>
      </c>
      <c r="Q9" s="4" t="inlineStr">
        <is>
          <t>P</t>
        </is>
      </c>
      <c r="R9" s="4" t="inlineStr">
        <is>
          <t>P</t>
        </is>
      </c>
      <c r="S9" s="4" t="inlineStr">
        <is>
          <t>P</t>
        </is>
      </c>
      <c r="T9" s="4" t="inlineStr">
        <is>
          <t>P</t>
        </is>
      </c>
      <c r="U9" s="9" t="n">
        <v>10</v>
      </c>
      <c r="V9" s="4" t="inlineStr">
        <is>
          <t>P</t>
        </is>
      </c>
      <c r="W9" s="4" t="inlineStr">
        <is>
          <t>P</t>
        </is>
      </c>
      <c r="X9" s="4" t="inlineStr">
        <is>
          <t>P</t>
        </is>
      </c>
      <c r="Y9" s="4" t="inlineStr">
        <is>
          <t>P</t>
        </is>
      </c>
      <c r="Z9" s="9" t="n">
        <v>10</v>
      </c>
      <c r="AA9" s="10">
        <f>AVERAGE(K9,P9,U9,Z9)</f>
        <v/>
      </c>
      <c r="AB9" s="11">
        <f>COUNTIF(G9:Z9,"P")</f>
        <v/>
      </c>
      <c r="AC9" s="12">
        <f>COUNTIF(G9:Z9,"L")</f>
        <v/>
      </c>
      <c r="AD9" s="13">
        <f>COUNTIF(G9:Z9,"A")</f>
        <v/>
      </c>
      <c r="AE9" s="14">
        <f>AB9+AC9</f>
        <v/>
      </c>
      <c r="AF9" s="8">
        <f>AE9/16*10</f>
        <v/>
      </c>
      <c r="AG9" s="8">
        <f>AA9</f>
        <v/>
      </c>
      <c r="AH9" s="8">
        <f>AF9+AG9</f>
        <v/>
      </c>
      <c r="AI9" s="5" t="inlineStr">
        <is>
          <t>Excellent work and effort</t>
        </is>
      </c>
    </row>
    <row r="10">
      <c r="A10" s="50" t="n"/>
      <c r="B10" s="4" t="n">
        <v>2</v>
      </c>
      <c r="C10" s="4" t="n">
        <v>2</v>
      </c>
      <c r="D10" s="7" t="inlineStr">
        <is>
          <t>Salma</t>
        </is>
      </c>
      <c r="E10" s="15" t="inlineStr">
        <is>
          <t>NA</t>
        </is>
      </c>
      <c r="F10" s="15" t="inlineStr">
        <is>
          <t>NA</t>
        </is>
      </c>
      <c r="G10" s="4" t="inlineStr">
        <is>
          <t>P</t>
        </is>
      </c>
      <c r="H10" s="4" t="inlineStr">
        <is>
          <t>P</t>
        </is>
      </c>
      <c r="I10" s="4" t="inlineStr">
        <is>
          <t>P</t>
        </is>
      </c>
      <c r="J10" s="4" t="inlineStr">
        <is>
          <t>P</t>
        </is>
      </c>
      <c r="K10" s="9" t="n">
        <v>10</v>
      </c>
      <c r="L10" s="4" t="inlineStr">
        <is>
          <t>A</t>
        </is>
      </c>
      <c r="M10" s="4" t="inlineStr">
        <is>
          <t>A</t>
        </is>
      </c>
      <c r="N10" s="4" t="inlineStr">
        <is>
          <t>L</t>
        </is>
      </c>
      <c r="O10" s="4" t="inlineStr">
        <is>
          <t>P</t>
        </is>
      </c>
      <c r="P10" s="9" t="n">
        <v>10</v>
      </c>
      <c r="Q10" s="4" t="inlineStr">
        <is>
          <t>P</t>
        </is>
      </c>
      <c r="R10" s="4" t="inlineStr">
        <is>
          <t>P</t>
        </is>
      </c>
      <c r="S10" s="4" t="inlineStr">
        <is>
          <t>P</t>
        </is>
      </c>
      <c r="T10" s="4" t="inlineStr">
        <is>
          <t>P</t>
        </is>
      </c>
      <c r="U10" s="9" t="n">
        <v>10</v>
      </c>
      <c r="V10" s="4" t="inlineStr">
        <is>
          <t>P</t>
        </is>
      </c>
      <c r="W10" s="4" t="inlineStr">
        <is>
          <t>P</t>
        </is>
      </c>
      <c r="X10" s="4" t="inlineStr">
        <is>
          <t>P</t>
        </is>
      </c>
      <c r="Y10" s="4" t="inlineStr">
        <is>
          <t>P</t>
        </is>
      </c>
      <c r="Z10" s="9" t="n">
        <v>10</v>
      </c>
      <c r="AA10" s="10">
        <f>AVERAGE(K10,P10,U10,Z10)</f>
        <v/>
      </c>
      <c r="AB10" s="11">
        <f>COUNTIF(G10:Z10,"P")</f>
        <v/>
      </c>
      <c r="AC10" s="12">
        <f>COUNTIF(G10:Z10,"L")</f>
        <v/>
      </c>
      <c r="AD10" s="13">
        <f>COUNTIF(G10:Z10,"A")</f>
        <v/>
      </c>
      <c r="AE10" s="14">
        <f>AB10+AC10</f>
        <v/>
      </c>
      <c r="AF10" s="8">
        <f>AE10/16*10</f>
        <v/>
      </c>
      <c r="AG10" s="8">
        <f>AA10</f>
        <v/>
      </c>
      <c r="AH10" s="8">
        <f>AF10+AG10</f>
        <v/>
      </c>
      <c r="AI10" s="5" t="n"/>
    </row>
    <row r="11">
      <c r="A11" s="50" t="n"/>
      <c r="B11" s="4" t="n">
        <v>3</v>
      </c>
      <c r="C11" s="4" t="n">
        <v>3</v>
      </c>
      <c r="D11" s="7" t="inlineStr">
        <is>
          <t>Fatima</t>
        </is>
      </c>
      <c r="E11" s="15" t="inlineStr">
        <is>
          <t>NA</t>
        </is>
      </c>
      <c r="F11" s="15" t="inlineStr">
        <is>
          <t>NA</t>
        </is>
      </c>
      <c r="G11" s="4" t="inlineStr">
        <is>
          <t>P</t>
        </is>
      </c>
      <c r="H11" s="4" t="inlineStr">
        <is>
          <t>P</t>
        </is>
      </c>
      <c r="I11" s="4" t="inlineStr">
        <is>
          <t>P</t>
        </is>
      </c>
      <c r="J11" s="4" t="inlineStr">
        <is>
          <t>A</t>
        </is>
      </c>
      <c r="K11" s="9" t="n">
        <v>5</v>
      </c>
      <c r="L11" s="4" t="inlineStr">
        <is>
          <t>A</t>
        </is>
      </c>
      <c r="M11" s="4" t="inlineStr">
        <is>
          <t>A</t>
        </is>
      </c>
      <c r="N11" s="4" t="inlineStr">
        <is>
          <t>P</t>
        </is>
      </c>
      <c r="O11" s="4" t="inlineStr">
        <is>
          <t>P</t>
        </is>
      </c>
      <c r="P11" s="9" t="n">
        <v>5</v>
      </c>
      <c r="Q11" s="4" t="inlineStr">
        <is>
          <t>a</t>
        </is>
      </c>
      <c r="R11" s="4" t="inlineStr">
        <is>
          <t>A</t>
        </is>
      </c>
      <c r="S11" s="4" t="inlineStr">
        <is>
          <t>P</t>
        </is>
      </c>
      <c r="T11" s="4" t="inlineStr">
        <is>
          <t>P</t>
        </is>
      </c>
      <c r="U11" s="9" t="n">
        <v>5</v>
      </c>
      <c r="V11" s="4" t="inlineStr">
        <is>
          <t>a</t>
        </is>
      </c>
      <c r="W11" s="4" t="inlineStr">
        <is>
          <t>A</t>
        </is>
      </c>
      <c r="X11" s="4" t="inlineStr">
        <is>
          <t>a</t>
        </is>
      </c>
      <c r="Y11" s="4" t="inlineStr">
        <is>
          <t>a</t>
        </is>
      </c>
      <c r="Z11" s="9" t="n">
        <v>5</v>
      </c>
      <c r="AA11" s="10">
        <f>AVERAGE(K11,P11,U11,Z11)</f>
        <v/>
      </c>
      <c r="AB11" s="11">
        <f>COUNTIF(G11:Z11,"P")</f>
        <v/>
      </c>
      <c r="AC11" s="12">
        <f>COUNTIF(G11:Z11,"L")</f>
        <v/>
      </c>
      <c r="AD11" s="13">
        <f>COUNTIF(G11:Z11,"A")</f>
        <v/>
      </c>
      <c r="AE11" s="14">
        <f>AB11+AC11</f>
        <v/>
      </c>
      <c r="AF11" s="8">
        <f>AE11/16*10</f>
        <v/>
      </c>
      <c r="AG11" s="8">
        <f>AA11</f>
        <v/>
      </c>
      <c r="AH11" s="8">
        <f>AF11+AG11</f>
        <v/>
      </c>
      <c r="AI11" s="5" t="n"/>
    </row>
    <row r="12">
      <c r="A12" s="50" t="n"/>
      <c r="B12" s="4" t="n">
        <v>4</v>
      </c>
      <c r="C12" s="4" t="n"/>
      <c r="D12" s="7" t="n"/>
      <c r="E12" s="15" t="inlineStr">
        <is>
          <t>NA</t>
        </is>
      </c>
      <c r="F12" s="15" t="inlineStr">
        <is>
          <t>NA</t>
        </is>
      </c>
      <c r="G12" s="4" t="n"/>
      <c r="H12" s="4" t="n"/>
      <c r="I12" s="4" t="n"/>
      <c r="J12" s="4" t="n"/>
      <c r="K12" s="9" t="n">
        <v>0</v>
      </c>
      <c r="L12" s="4" t="n"/>
      <c r="M12" s="4" t="n"/>
      <c r="N12" s="4" t="n"/>
      <c r="O12" s="4" t="n"/>
      <c r="P12" s="9" t="n">
        <v>0</v>
      </c>
      <c r="Q12" s="4" t="n"/>
      <c r="R12" s="4" t="n"/>
      <c r="S12" s="4" t="n"/>
      <c r="T12" s="4" t="n"/>
      <c r="U12" s="9" t="n">
        <v>0</v>
      </c>
      <c r="V12" s="4" t="n"/>
      <c r="W12" s="4" t="n"/>
      <c r="X12" s="4" t="n"/>
      <c r="Y12" s="4" t="n"/>
      <c r="Z12" s="9" t="n">
        <v>0</v>
      </c>
      <c r="AA12" s="10">
        <f>AVERAGE(K12,P12,U12,Z12)</f>
        <v/>
      </c>
      <c r="AB12" s="11">
        <f>COUNTIF(G12:Z12,"P")</f>
        <v/>
      </c>
      <c r="AC12" s="12">
        <f>COUNTIF(G12:Z12,"L")</f>
        <v/>
      </c>
      <c r="AD12" s="13">
        <f>COUNTIF(G12:Z12,"A")</f>
        <v/>
      </c>
      <c r="AE12" s="14">
        <f>AB12+AC12</f>
        <v/>
      </c>
      <c r="AF12" s="8">
        <f>AE12/16*10</f>
        <v/>
      </c>
      <c r="AG12" s="8">
        <f>AA12</f>
        <v/>
      </c>
      <c r="AH12" s="8">
        <f>AF12+AG12</f>
        <v/>
      </c>
      <c r="AI12" s="5" t="n"/>
    </row>
    <row r="13">
      <c r="A13" s="50" t="n"/>
      <c r="B13" s="4" t="n">
        <v>5</v>
      </c>
      <c r="C13" s="4" t="n"/>
      <c r="D13" s="7" t="n"/>
      <c r="E13" s="15" t="inlineStr">
        <is>
          <t>NA</t>
        </is>
      </c>
      <c r="F13" s="15" t="inlineStr">
        <is>
          <t>NA</t>
        </is>
      </c>
      <c r="G13" s="4" t="n"/>
      <c r="H13" s="4" t="n"/>
      <c r="I13" s="4" t="n"/>
      <c r="J13" s="4" t="n"/>
      <c r="K13" s="9" t="n">
        <v>0</v>
      </c>
      <c r="L13" s="4" t="n"/>
      <c r="M13" s="4" t="n"/>
      <c r="N13" s="4" t="n"/>
      <c r="O13" s="4" t="n"/>
      <c r="P13" s="9" t="n">
        <v>0</v>
      </c>
      <c r="Q13" s="4" t="n"/>
      <c r="R13" s="4" t="n"/>
      <c r="S13" s="4" t="n"/>
      <c r="T13" s="4" t="n"/>
      <c r="U13" s="9" t="n">
        <v>0</v>
      </c>
      <c r="V13" s="4" t="n"/>
      <c r="W13" s="4" t="n"/>
      <c r="X13" s="4" t="n"/>
      <c r="Y13" s="4" t="n"/>
      <c r="Z13" s="9" t="n">
        <v>0</v>
      </c>
      <c r="AA13" s="10">
        <f>AVERAGE(K13,P13,U13,Z13)</f>
        <v/>
      </c>
      <c r="AB13" s="11">
        <f>COUNTIF(G13:Z13,"P")</f>
        <v/>
      </c>
      <c r="AC13" s="12">
        <f>COUNTIF(G13:Z13,"L")</f>
        <v/>
      </c>
      <c r="AD13" s="13">
        <f>COUNTIF(G13:Z13,"A")</f>
        <v/>
      </c>
      <c r="AE13" s="14">
        <f>AB13+AC13</f>
        <v/>
      </c>
      <c r="AF13" s="8">
        <f>AE13/16*10</f>
        <v/>
      </c>
      <c r="AG13" s="8">
        <f>AA13</f>
        <v/>
      </c>
      <c r="AH13" s="8">
        <f>AF13+AG13</f>
        <v/>
      </c>
      <c r="AI13" s="5" t="n"/>
    </row>
    <row r="14">
      <c r="A14" s="50" t="n"/>
      <c r="B14" s="4" t="n">
        <v>6</v>
      </c>
      <c r="C14" s="4" t="n"/>
      <c r="D14" s="7" t="n"/>
      <c r="E14" s="15" t="inlineStr">
        <is>
          <t>NA</t>
        </is>
      </c>
      <c r="F14" s="15" t="inlineStr">
        <is>
          <t>NA</t>
        </is>
      </c>
      <c r="G14" s="4" t="n"/>
      <c r="H14" s="4" t="n"/>
      <c r="I14" s="4" t="n"/>
      <c r="J14" s="4" t="n"/>
      <c r="K14" s="9" t="n">
        <v>0</v>
      </c>
      <c r="L14" s="4" t="n"/>
      <c r="M14" s="4" t="n"/>
      <c r="N14" s="4" t="n"/>
      <c r="O14" s="4" t="n"/>
      <c r="P14" s="9" t="n">
        <v>0</v>
      </c>
      <c r="Q14" s="4" t="n"/>
      <c r="R14" s="4" t="n"/>
      <c r="S14" s="4" t="n"/>
      <c r="T14" s="4" t="n"/>
      <c r="U14" s="9" t="n">
        <v>0</v>
      </c>
      <c r="V14" s="4" t="n"/>
      <c r="W14" s="4" t="n"/>
      <c r="X14" s="4" t="n"/>
      <c r="Y14" s="4" t="n"/>
      <c r="Z14" s="9" t="n">
        <v>0</v>
      </c>
      <c r="AA14" s="10">
        <f>AVERAGE(K14,P14,U14,Z14)</f>
        <v/>
      </c>
      <c r="AB14" s="11">
        <f>COUNTIF(G14:Z14,"P")</f>
        <v/>
      </c>
      <c r="AC14" s="12">
        <f>COUNTIF(G14:Z14,"L")</f>
        <v/>
      </c>
      <c r="AD14" s="13">
        <f>COUNTIF(G14:Z14,"A")</f>
        <v/>
      </c>
      <c r="AE14" s="14">
        <f>AB14+AC14</f>
        <v/>
      </c>
      <c r="AF14" s="8">
        <f>AE14/16*10</f>
        <v/>
      </c>
      <c r="AG14" s="8">
        <f>AA14</f>
        <v/>
      </c>
      <c r="AH14" s="8">
        <f>AF14+AG14</f>
        <v/>
      </c>
      <c r="AI14" s="5" t="n"/>
    </row>
    <row r="15">
      <c r="A15" s="50" t="n"/>
      <c r="B15" s="4" t="n">
        <v>7</v>
      </c>
      <c r="C15" s="4" t="n"/>
      <c r="D15" s="7" t="n"/>
      <c r="E15" s="15" t="inlineStr">
        <is>
          <t>NA</t>
        </is>
      </c>
      <c r="F15" s="15" t="inlineStr">
        <is>
          <t>NA</t>
        </is>
      </c>
      <c r="G15" s="4" t="n"/>
      <c r="H15" s="4" t="n"/>
      <c r="I15" s="4" t="n"/>
      <c r="J15" s="4" t="n"/>
      <c r="K15" s="9" t="n">
        <v>0</v>
      </c>
      <c r="L15" s="4" t="n"/>
      <c r="M15" s="4" t="n"/>
      <c r="N15" s="4" t="n"/>
      <c r="O15" s="4" t="n"/>
      <c r="P15" s="9" t="n">
        <v>0</v>
      </c>
      <c r="Q15" s="4" t="n"/>
      <c r="R15" s="4" t="n"/>
      <c r="S15" s="4" t="n"/>
      <c r="T15" s="4" t="n"/>
      <c r="U15" s="9" t="n">
        <v>0</v>
      </c>
      <c r="V15" s="4" t="n"/>
      <c r="W15" s="4" t="n"/>
      <c r="X15" s="4" t="n"/>
      <c r="Y15" s="4" t="n"/>
      <c r="Z15" s="9" t="n">
        <v>0</v>
      </c>
      <c r="AA15" s="10">
        <f>AVERAGE(K15,P15,U15,Z15)</f>
        <v/>
      </c>
      <c r="AB15" s="11">
        <f>COUNTIF(G15:Z15,"P")</f>
        <v/>
      </c>
      <c r="AC15" s="12">
        <f>COUNTIF(G15:Z15,"L")</f>
        <v/>
      </c>
      <c r="AD15" s="13">
        <f>COUNTIF(G15:Z15,"A")</f>
        <v/>
      </c>
      <c r="AE15" s="14">
        <f>AB15+AC15</f>
        <v/>
      </c>
      <c r="AF15" s="8">
        <f>AE15/16*10</f>
        <v/>
      </c>
      <c r="AG15" s="8">
        <f>AA15</f>
        <v/>
      </c>
      <c r="AH15" s="8">
        <f>AF15+AG15</f>
        <v/>
      </c>
      <c r="AI15" s="5" t="n"/>
    </row>
    <row r="16">
      <c r="A16" s="50" t="n"/>
      <c r="B16" s="4" t="n">
        <v>8</v>
      </c>
      <c r="C16" s="4" t="n"/>
      <c r="D16" s="7" t="n"/>
      <c r="E16" s="15" t="inlineStr">
        <is>
          <t>NA</t>
        </is>
      </c>
      <c r="F16" s="15" t="inlineStr">
        <is>
          <t>NA</t>
        </is>
      </c>
      <c r="G16" s="4" t="n"/>
      <c r="H16" s="4" t="n"/>
      <c r="I16" s="4" t="n"/>
      <c r="J16" s="4" t="n"/>
      <c r="K16" s="9" t="n">
        <v>0</v>
      </c>
      <c r="L16" s="4" t="n"/>
      <c r="M16" s="4" t="n"/>
      <c r="N16" s="4" t="n"/>
      <c r="O16" s="4" t="n"/>
      <c r="P16" s="9" t="n">
        <v>0</v>
      </c>
      <c r="Q16" s="4" t="n"/>
      <c r="R16" s="4" t="n"/>
      <c r="S16" s="4" t="n"/>
      <c r="T16" s="4" t="n"/>
      <c r="U16" s="9" t="n">
        <v>0</v>
      </c>
      <c r="V16" s="4" t="n"/>
      <c r="W16" s="4" t="n"/>
      <c r="X16" s="4" t="n"/>
      <c r="Y16" s="4" t="n"/>
      <c r="Z16" s="9" t="n">
        <v>0</v>
      </c>
      <c r="AA16" s="10">
        <f>AVERAGE(K16,P16,U16,Z16)</f>
        <v/>
      </c>
      <c r="AB16" s="11">
        <f>COUNTIF(G16:Z16,"P")</f>
        <v/>
      </c>
      <c r="AC16" s="12">
        <f>COUNTIF(G16:Z16,"L")</f>
        <v/>
      </c>
      <c r="AD16" s="13">
        <f>COUNTIF(G16:Z16,"A")</f>
        <v/>
      </c>
      <c r="AE16" s="14">
        <f>AB16+AC16</f>
        <v/>
      </c>
      <c r="AF16" s="8">
        <f>AE16/16*10</f>
        <v/>
      </c>
      <c r="AG16" s="8">
        <f>AA16</f>
        <v/>
      </c>
      <c r="AH16" s="8">
        <f>AF16+AG16</f>
        <v/>
      </c>
      <c r="AI16" s="5" t="n"/>
    </row>
    <row r="17">
      <c r="A17" s="50" t="n"/>
      <c r="B17" s="4" t="n">
        <v>9</v>
      </c>
      <c r="C17" s="4" t="n"/>
      <c r="D17" s="7" t="n"/>
      <c r="E17" s="15" t="inlineStr">
        <is>
          <t>NA</t>
        </is>
      </c>
      <c r="F17" s="15" t="inlineStr">
        <is>
          <t>NA</t>
        </is>
      </c>
      <c r="G17" s="4" t="n"/>
      <c r="H17" s="4" t="n"/>
      <c r="I17" s="4" t="n"/>
      <c r="J17" s="4" t="n"/>
      <c r="K17" s="9" t="n">
        <v>0</v>
      </c>
      <c r="L17" s="4" t="n"/>
      <c r="M17" s="4" t="n"/>
      <c r="N17" s="4" t="n"/>
      <c r="O17" s="4" t="n"/>
      <c r="P17" s="9" t="n">
        <v>0</v>
      </c>
      <c r="Q17" s="4" t="n"/>
      <c r="R17" s="4" t="n"/>
      <c r="S17" s="4" t="n"/>
      <c r="T17" s="4" t="n"/>
      <c r="U17" s="9" t="n">
        <v>0</v>
      </c>
      <c r="V17" s="4" t="n"/>
      <c r="W17" s="4" t="n"/>
      <c r="X17" s="4" t="n"/>
      <c r="Y17" s="4" t="n"/>
      <c r="Z17" s="9" t="n">
        <v>0</v>
      </c>
      <c r="AA17" s="10">
        <f>AVERAGE(K17,P17,U17,Z17)</f>
        <v/>
      </c>
      <c r="AB17" s="11">
        <f>COUNTIF(G17:Z17,"P")</f>
        <v/>
      </c>
      <c r="AC17" s="12">
        <f>COUNTIF(G17:Z17,"L")</f>
        <v/>
      </c>
      <c r="AD17" s="13">
        <f>COUNTIF(G17:Z17,"A")</f>
        <v/>
      </c>
      <c r="AE17" s="14">
        <f>AB17+AC17</f>
        <v/>
      </c>
      <c r="AF17" s="8">
        <f>AE17/16*10</f>
        <v/>
      </c>
      <c r="AG17" s="8">
        <f>AA17</f>
        <v/>
      </c>
      <c r="AH17" s="8">
        <f>AF17+AG17</f>
        <v/>
      </c>
      <c r="AI17" s="5" t="n"/>
    </row>
    <row r="18">
      <c r="A18" s="50" t="n"/>
      <c r="B18" s="4" t="n">
        <v>10</v>
      </c>
      <c r="C18" s="4" t="n"/>
      <c r="D18" s="7" t="n"/>
      <c r="E18" s="15" t="inlineStr">
        <is>
          <t>NA</t>
        </is>
      </c>
      <c r="F18" s="15" t="inlineStr">
        <is>
          <t>NA</t>
        </is>
      </c>
      <c r="G18" s="4" t="n"/>
      <c r="H18" s="4" t="n"/>
      <c r="I18" s="4" t="n"/>
      <c r="J18" s="4" t="n"/>
      <c r="K18" s="9" t="n">
        <v>0</v>
      </c>
      <c r="L18" s="4" t="n"/>
      <c r="M18" s="4" t="n"/>
      <c r="N18" s="4" t="n"/>
      <c r="O18" s="4" t="n"/>
      <c r="P18" s="9" t="n">
        <v>0</v>
      </c>
      <c r="Q18" s="4" t="n"/>
      <c r="R18" s="4" t="n"/>
      <c r="S18" s="4" t="n"/>
      <c r="T18" s="4" t="n"/>
      <c r="U18" s="9" t="n">
        <v>0</v>
      </c>
      <c r="V18" s="4" t="n"/>
      <c r="W18" s="4" t="n"/>
      <c r="X18" s="4" t="n"/>
      <c r="Y18" s="4" t="n"/>
      <c r="Z18" s="9" t="n">
        <v>0</v>
      </c>
      <c r="AA18" s="10">
        <f>AVERAGE(K18,P18,U18,Z18)</f>
        <v/>
      </c>
      <c r="AB18" s="11">
        <f>COUNTIF(G18:Z18,"P")</f>
        <v/>
      </c>
      <c r="AC18" s="12">
        <f>COUNTIF(G18:Z18,"L")</f>
        <v/>
      </c>
      <c r="AD18" s="13">
        <f>COUNTIF(G18:Z18,"A")</f>
        <v/>
      </c>
      <c r="AE18" s="14">
        <f>AB18+AC18</f>
        <v/>
      </c>
      <c r="AF18" s="8">
        <f>AE18/16*10</f>
        <v/>
      </c>
      <c r="AG18" s="8">
        <f>AA18</f>
        <v/>
      </c>
      <c r="AH18" s="8">
        <f>AF18+AG18</f>
        <v/>
      </c>
      <c r="AI18" s="5" t="n"/>
    </row>
    <row r="19">
      <c r="A19" s="50" t="n"/>
      <c r="B19" s="4" t="n">
        <v>11</v>
      </c>
      <c r="C19" s="4" t="n"/>
      <c r="D19" s="7" t="n"/>
      <c r="E19" s="15" t="inlineStr">
        <is>
          <t>NA</t>
        </is>
      </c>
      <c r="F19" s="15" t="inlineStr">
        <is>
          <t>NA</t>
        </is>
      </c>
      <c r="G19" s="4" t="n"/>
      <c r="H19" s="4" t="n"/>
      <c r="I19" s="4" t="n"/>
      <c r="J19" s="4" t="n"/>
      <c r="K19" s="9" t="n">
        <v>0</v>
      </c>
      <c r="L19" s="4" t="n"/>
      <c r="M19" s="4" t="n"/>
      <c r="N19" s="4" t="n"/>
      <c r="O19" s="4" t="n"/>
      <c r="P19" s="9" t="n">
        <v>0</v>
      </c>
      <c r="Q19" s="4" t="n"/>
      <c r="R19" s="4" t="n"/>
      <c r="S19" s="4" t="n"/>
      <c r="T19" s="4" t="n"/>
      <c r="U19" s="9" t="n">
        <v>0</v>
      </c>
      <c r="V19" s="4" t="n"/>
      <c r="W19" s="4" t="n"/>
      <c r="X19" s="4" t="n"/>
      <c r="Y19" s="4" t="n"/>
      <c r="Z19" s="9" t="n">
        <v>0</v>
      </c>
      <c r="AA19" s="10">
        <f>AVERAGE(K19,P19,U19,Z19)</f>
        <v/>
      </c>
      <c r="AB19" s="11">
        <f>COUNTIF(G19:Z19,"P")</f>
        <v/>
      </c>
      <c r="AC19" s="12">
        <f>COUNTIF(G19:Z19,"L")</f>
        <v/>
      </c>
      <c r="AD19" s="13">
        <f>COUNTIF(G19:Z19,"A")</f>
        <v/>
      </c>
      <c r="AE19" s="14">
        <f>AB19+AC19</f>
        <v/>
      </c>
      <c r="AF19" s="8">
        <f>AE19/16*10</f>
        <v/>
      </c>
      <c r="AG19" s="8">
        <f>AA19</f>
        <v/>
      </c>
      <c r="AH19" s="8">
        <f>AF19+AG19</f>
        <v/>
      </c>
      <c r="AI19" s="5" t="n"/>
    </row>
    <row r="20">
      <c r="A20" s="50" t="n"/>
      <c r="B20" s="4" t="n">
        <v>12</v>
      </c>
      <c r="C20" s="4" t="n"/>
      <c r="D20" s="7" t="n"/>
      <c r="E20" s="15" t="inlineStr">
        <is>
          <t>NA</t>
        </is>
      </c>
      <c r="F20" s="15" t="inlineStr">
        <is>
          <t>NA</t>
        </is>
      </c>
      <c r="G20" s="4" t="n"/>
      <c r="H20" s="4" t="n"/>
      <c r="I20" s="4" t="n"/>
      <c r="J20" s="4" t="n"/>
      <c r="K20" s="9" t="n">
        <v>0</v>
      </c>
      <c r="L20" s="4" t="n"/>
      <c r="M20" s="4" t="n"/>
      <c r="N20" s="4" t="n"/>
      <c r="O20" s="4" t="n"/>
      <c r="P20" s="9" t="n">
        <v>0</v>
      </c>
      <c r="Q20" s="4" t="n"/>
      <c r="R20" s="4" t="n"/>
      <c r="S20" s="4" t="n"/>
      <c r="T20" s="4" t="n"/>
      <c r="U20" s="9" t="n">
        <v>0</v>
      </c>
      <c r="V20" s="4" t="n"/>
      <c r="W20" s="4" t="n"/>
      <c r="X20" s="4" t="n"/>
      <c r="Y20" s="4" t="n"/>
      <c r="Z20" s="9" t="n">
        <v>0</v>
      </c>
      <c r="AA20" s="10">
        <f>AVERAGE(K20,P20,U20,Z20)</f>
        <v/>
      </c>
      <c r="AB20" s="11">
        <f>COUNTIF(G20:Z20,"P")</f>
        <v/>
      </c>
      <c r="AC20" s="12">
        <f>COUNTIF(G20:Z20,"L")</f>
        <v/>
      </c>
      <c r="AD20" s="13">
        <f>COUNTIF(G20:Z20,"A")</f>
        <v/>
      </c>
      <c r="AE20" s="14">
        <f>AB20+AC20</f>
        <v/>
      </c>
      <c r="AF20" s="8">
        <f>AE20/16*10</f>
        <v/>
      </c>
      <c r="AG20" s="8">
        <f>AA20</f>
        <v/>
      </c>
      <c r="AH20" s="8">
        <f>AF20+AG20</f>
        <v/>
      </c>
      <c r="AI20" s="5" t="n"/>
    </row>
    <row r="21">
      <c r="A21" s="50" t="n"/>
      <c r="B21" s="4" t="n">
        <v>13</v>
      </c>
      <c r="C21" s="4" t="n"/>
      <c r="D21" s="7" t="n"/>
      <c r="E21" s="15" t="inlineStr">
        <is>
          <t>NA</t>
        </is>
      </c>
      <c r="F21" s="15" t="inlineStr">
        <is>
          <t>NA</t>
        </is>
      </c>
      <c r="G21" s="4" t="n"/>
      <c r="H21" s="4" t="n"/>
      <c r="I21" s="4" t="n"/>
      <c r="J21" s="4" t="n"/>
      <c r="K21" s="9" t="n">
        <v>0</v>
      </c>
      <c r="L21" s="4" t="n"/>
      <c r="M21" s="4" t="n"/>
      <c r="N21" s="4" t="n"/>
      <c r="O21" s="4" t="n"/>
      <c r="P21" s="9" t="n">
        <v>0</v>
      </c>
      <c r="Q21" s="4" t="n"/>
      <c r="R21" s="4" t="n"/>
      <c r="S21" s="4" t="n"/>
      <c r="T21" s="4" t="n"/>
      <c r="U21" s="9" t="n">
        <v>0</v>
      </c>
      <c r="V21" s="4" t="n"/>
      <c r="W21" s="4" t="n"/>
      <c r="X21" s="4" t="n"/>
      <c r="Y21" s="4" t="n"/>
      <c r="Z21" s="9" t="n">
        <v>0</v>
      </c>
      <c r="AA21" s="10">
        <f>AVERAGE(K21,P21,U21,Z21)</f>
        <v/>
      </c>
      <c r="AB21" s="11">
        <f>COUNTIF(G21:Z21,"P")</f>
        <v/>
      </c>
      <c r="AC21" s="12">
        <f>COUNTIF(G21:Z21,"L")</f>
        <v/>
      </c>
      <c r="AD21" s="13">
        <f>COUNTIF(G21:Z21,"A")</f>
        <v/>
      </c>
      <c r="AE21" s="14">
        <f>AB21+AC21</f>
        <v/>
      </c>
      <c r="AF21" s="8">
        <f>AE21/16*10</f>
        <v/>
      </c>
      <c r="AG21" s="8">
        <f>AA21</f>
        <v/>
      </c>
      <c r="AH21" s="8">
        <f>AF21+AG21</f>
        <v/>
      </c>
      <c r="AI21" s="5" t="n"/>
    </row>
    <row r="22">
      <c r="A22" s="50" t="n"/>
      <c r="B22" s="4" t="n">
        <v>14</v>
      </c>
      <c r="C22" s="4" t="n"/>
      <c r="D22" s="7" t="n"/>
      <c r="E22" s="15" t="inlineStr">
        <is>
          <t>NA</t>
        </is>
      </c>
      <c r="F22" s="15" t="inlineStr">
        <is>
          <t>NA</t>
        </is>
      </c>
      <c r="G22" s="4" t="n"/>
      <c r="H22" s="4" t="n"/>
      <c r="I22" s="4" t="n"/>
      <c r="J22" s="4" t="n"/>
      <c r="K22" s="9" t="n">
        <v>0</v>
      </c>
      <c r="L22" s="4" t="n"/>
      <c r="M22" s="4" t="n"/>
      <c r="N22" s="4" t="n"/>
      <c r="O22" s="4" t="n"/>
      <c r="P22" s="9" t="n">
        <v>0</v>
      </c>
      <c r="Q22" s="4" t="n"/>
      <c r="R22" s="4" t="n"/>
      <c r="S22" s="4" t="n"/>
      <c r="T22" s="4" t="n"/>
      <c r="U22" s="9" t="n">
        <v>0</v>
      </c>
      <c r="V22" s="4" t="n"/>
      <c r="W22" s="4" t="n"/>
      <c r="X22" s="4" t="n"/>
      <c r="Y22" s="4" t="n"/>
      <c r="Z22" s="9" t="n">
        <v>0</v>
      </c>
      <c r="AA22" s="10">
        <f>AVERAGE(K22,P22,U22,Z22)</f>
        <v/>
      </c>
      <c r="AB22" s="11">
        <f>COUNTIF(G22:Z22,"P")</f>
        <v/>
      </c>
      <c r="AC22" s="12">
        <f>COUNTIF(G22:Z22,"L")</f>
        <v/>
      </c>
      <c r="AD22" s="13">
        <f>COUNTIF(G22:Z22,"A")</f>
        <v/>
      </c>
      <c r="AE22" s="14">
        <f>AB22+AC22</f>
        <v/>
      </c>
      <c r="AF22" s="8">
        <f>AE22/16*10</f>
        <v/>
      </c>
      <c r="AG22" s="8">
        <f>AA22</f>
        <v/>
      </c>
      <c r="AH22" s="8">
        <f>AF22+AG22</f>
        <v/>
      </c>
      <c r="AI22" s="5" t="n"/>
    </row>
    <row r="23">
      <c r="A23" s="50" t="n"/>
      <c r="B23" s="4" t="n">
        <v>15</v>
      </c>
      <c r="C23" s="4" t="n"/>
      <c r="D23" s="7" t="inlineStr">
        <is>
          <t> </t>
        </is>
      </c>
      <c r="E23" s="15" t="inlineStr">
        <is>
          <t>NA</t>
        </is>
      </c>
      <c r="F23" s="15" t="inlineStr">
        <is>
          <t>NA</t>
        </is>
      </c>
      <c r="G23" s="4" t="n"/>
      <c r="H23" s="4" t="n"/>
      <c r="I23" s="4" t="n"/>
      <c r="J23" s="4" t="n"/>
      <c r="K23" s="9" t="n">
        <v>0</v>
      </c>
      <c r="L23" s="4" t="n"/>
      <c r="M23" s="4" t="n"/>
      <c r="N23" s="4" t="n"/>
      <c r="O23" s="4" t="n"/>
      <c r="P23" s="9" t="n">
        <v>0</v>
      </c>
      <c r="Q23" s="4" t="n"/>
      <c r="R23" s="4" t="n"/>
      <c r="S23" s="4" t="n"/>
      <c r="T23" s="4" t="n"/>
      <c r="U23" s="9" t="n">
        <v>0</v>
      </c>
      <c r="V23" s="4" t="n"/>
      <c r="W23" s="4" t="n"/>
      <c r="X23" s="4" t="n"/>
      <c r="Y23" s="4" t="n"/>
      <c r="Z23" s="9" t="n">
        <v>0</v>
      </c>
      <c r="AA23" s="10">
        <f>AVERAGE(K23,P23,U23,Z23)</f>
        <v/>
      </c>
      <c r="AB23" s="11">
        <f>COUNTIF(G23:Z23,"P")</f>
        <v/>
      </c>
      <c r="AC23" s="12">
        <f>COUNTIF(G23:Z23,"L")</f>
        <v/>
      </c>
      <c r="AD23" s="13">
        <f>COUNTIF(G23:Z23,"A")</f>
        <v/>
      </c>
      <c r="AE23" s="14">
        <f>AB23+AC23</f>
        <v/>
      </c>
      <c r="AF23" s="8">
        <f>AE23/16*10</f>
        <v/>
      </c>
      <c r="AG23" s="8">
        <f>AA23</f>
        <v/>
      </c>
      <c r="AH23" s="8">
        <f>AF23+AG23</f>
        <v/>
      </c>
      <c r="AI23" s="5" t="n"/>
    </row>
    <row r="24">
      <c r="A24" s="50" t="n"/>
      <c r="B24" s="4" t="n">
        <v>16</v>
      </c>
      <c r="C24" s="4" t="n"/>
      <c r="D24" s="7" t="n"/>
      <c r="E24" s="15" t="inlineStr">
        <is>
          <t>NA</t>
        </is>
      </c>
      <c r="F24" s="15" t="inlineStr">
        <is>
          <t>NA</t>
        </is>
      </c>
      <c r="G24" s="4" t="n"/>
      <c r="H24" s="4" t="n"/>
      <c r="I24" s="4" t="n"/>
      <c r="J24" s="4" t="n"/>
      <c r="K24" s="9" t="n">
        <v>0</v>
      </c>
      <c r="L24" s="4" t="n"/>
      <c r="M24" s="4" t="n"/>
      <c r="N24" s="4" t="n"/>
      <c r="O24" s="4" t="n"/>
      <c r="P24" s="9" t="n">
        <v>0</v>
      </c>
      <c r="Q24" s="4" t="n"/>
      <c r="R24" s="4" t="n"/>
      <c r="S24" s="4" t="n"/>
      <c r="T24" s="4" t="n"/>
      <c r="U24" s="9" t="n">
        <v>0</v>
      </c>
      <c r="V24" s="4" t="n"/>
      <c r="W24" s="4" t="n"/>
      <c r="X24" s="4" t="n"/>
      <c r="Y24" s="4" t="n"/>
      <c r="Z24" s="9" t="n">
        <v>0</v>
      </c>
      <c r="AA24" s="10">
        <f>AVERAGE(K24,P24,U24,Z24)</f>
        <v/>
      </c>
      <c r="AB24" s="11">
        <f>COUNTIF(G24:Z24,"P")</f>
        <v/>
      </c>
      <c r="AC24" s="12">
        <f>COUNTIF(G24:Z24,"L")</f>
        <v/>
      </c>
      <c r="AD24" s="13">
        <f>COUNTIF(G24:Z24,"A")</f>
        <v/>
      </c>
      <c r="AE24" s="14">
        <f>AB24+AC24</f>
        <v/>
      </c>
      <c r="AF24" s="8">
        <f>AE24/16*10</f>
        <v/>
      </c>
      <c r="AG24" s="8">
        <f>AA24</f>
        <v/>
      </c>
      <c r="AH24" s="8">
        <f>AF24+AG24</f>
        <v/>
      </c>
      <c r="AI24" s="5" t="n"/>
    </row>
    <row r="25">
      <c r="A25" s="50" t="n"/>
      <c r="B25" s="4" t="n">
        <v>17</v>
      </c>
      <c r="C25" s="4" t="n"/>
      <c r="D25" s="7" t="n"/>
      <c r="E25" s="15" t="inlineStr">
        <is>
          <t>NA</t>
        </is>
      </c>
      <c r="F25" s="15" t="inlineStr">
        <is>
          <t>NA</t>
        </is>
      </c>
      <c r="G25" s="4" t="n"/>
      <c r="H25" s="4" t="n"/>
      <c r="I25" s="4" t="n"/>
      <c r="J25" s="4" t="n"/>
      <c r="K25" s="9" t="n">
        <v>0</v>
      </c>
      <c r="L25" s="4" t="n"/>
      <c r="M25" s="4" t="n"/>
      <c r="N25" s="4" t="n"/>
      <c r="O25" s="4" t="n"/>
      <c r="P25" s="9" t="n">
        <v>0</v>
      </c>
      <c r="Q25" s="4" t="n"/>
      <c r="R25" s="4" t="n"/>
      <c r="S25" s="4" t="n"/>
      <c r="T25" s="4" t="n"/>
      <c r="U25" s="9" t="n">
        <v>0</v>
      </c>
      <c r="V25" s="4" t="n"/>
      <c r="W25" s="4" t="n"/>
      <c r="X25" s="4" t="n"/>
      <c r="Y25" s="4" t="n"/>
      <c r="Z25" s="9" t="n">
        <v>0</v>
      </c>
      <c r="AA25" s="10">
        <f>AVERAGE(K25,P25,U25,Z25)</f>
        <v/>
      </c>
      <c r="AB25" s="11">
        <f>COUNTIF(G25:Z25,"P")</f>
        <v/>
      </c>
      <c r="AC25" s="12">
        <f>COUNTIF(G25:Z25,"L")</f>
        <v/>
      </c>
      <c r="AD25" s="13">
        <f>COUNTIF(G25:Z25,"A")</f>
        <v/>
      </c>
      <c r="AE25" s="14">
        <f>AB25+AC25</f>
        <v/>
      </c>
      <c r="AF25" s="8">
        <f>AE25/16*10</f>
        <v/>
      </c>
      <c r="AG25" s="8">
        <f>AA25</f>
        <v/>
      </c>
      <c r="AH25" s="8">
        <f>AF25+AG25</f>
        <v/>
      </c>
      <c r="AI25" s="5" t="n"/>
    </row>
    <row r="26">
      <c r="A26" s="50" t="n"/>
      <c r="B26" s="4" t="n">
        <v>18</v>
      </c>
      <c r="C26" s="4" t="n"/>
      <c r="D26" s="7" t="n"/>
      <c r="E26" s="15" t="inlineStr">
        <is>
          <t>NA</t>
        </is>
      </c>
      <c r="F26" s="15" t="inlineStr">
        <is>
          <t>NA</t>
        </is>
      </c>
      <c r="G26" s="4" t="n"/>
      <c r="H26" s="4" t="n"/>
      <c r="I26" s="4" t="n"/>
      <c r="J26" s="4" t="n"/>
      <c r="K26" s="9" t="n">
        <v>0</v>
      </c>
      <c r="L26" s="4" t="n"/>
      <c r="M26" s="4" t="n"/>
      <c r="N26" s="4" t="n"/>
      <c r="O26" s="4" t="n"/>
      <c r="P26" s="9" t="n">
        <v>0</v>
      </c>
      <c r="Q26" s="4" t="n"/>
      <c r="R26" s="4" t="n"/>
      <c r="S26" s="4" t="n"/>
      <c r="T26" s="4" t="n"/>
      <c r="U26" s="9" t="n">
        <v>0</v>
      </c>
      <c r="V26" s="4" t="n"/>
      <c r="W26" s="4" t="n"/>
      <c r="X26" s="4" t="n"/>
      <c r="Y26" s="4" t="n"/>
      <c r="Z26" s="9" t="n">
        <v>0</v>
      </c>
      <c r="AA26" s="10">
        <f>AVERAGE(K26,P26,U26,Z26)</f>
        <v/>
      </c>
      <c r="AB26" s="11">
        <f>COUNTIF(G26:Z26,"P")</f>
        <v/>
      </c>
      <c r="AC26" s="12">
        <f>COUNTIF(G26:Z26,"L")</f>
        <v/>
      </c>
      <c r="AD26" s="13">
        <f>COUNTIF(G26:Z26,"A")</f>
        <v/>
      </c>
      <c r="AE26" s="14">
        <f>AB26+AC26</f>
        <v/>
      </c>
      <c r="AF26" s="8">
        <f>AE26/16*10</f>
        <v/>
      </c>
      <c r="AG26" s="8">
        <f>AA26</f>
        <v/>
      </c>
      <c r="AH26" s="8">
        <f>AF26+AG26</f>
        <v/>
      </c>
      <c r="AI26" s="5" t="n"/>
    </row>
    <row r="27">
      <c r="A27" s="50" t="n"/>
      <c r="B27" s="4" t="n">
        <v>19</v>
      </c>
      <c r="C27" s="4" t="n"/>
      <c r="D27" s="7" t="n"/>
      <c r="E27" s="15" t="inlineStr">
        <is>
          <t>NA</t>
        </is>
      </c>
      <c r="F27" s="15" t="inlineStr">
        <is>
          <t>NA</t>
        </is>
      </c>
      <c r="G27" s="4" t="n"/>
      <c r="H27" s="4" t="n"/>
      <c r="I27" s="4" t="n"/>
      <c r="J27" s="4" t="n"/>
      <c r="K27" s="9" t="n">
        <v>0</v>
      </c>
      <c r="L27" s="4" t="n"/>
      <c r="M27" s="4" t="n"/>
      <c r="N27" s="4" t="n"/>
      <c r="O27" s="4" t="n"/>
      <c r="P27" s="9" t="n">
        <v>0</v>
      </c>
      <c r="Q27" s="4" t="n"/>
      <c r="R27" s="4" t="n"/>
      <c r="S27" s="4" t="n"/>
      <c r="T27" s="4" t="n"/>
      <c r="U27" s="9" t="n">
        <v>0</v>
      </c>
      <c r="V27" s="4" t="n"/>
      <c r="W27" s="4" t="n"/>
      <c r="X27" s="4" t="n"/>
      <c r="Y27" s="4" t="n"/>
      <c r="Z27" s="9" t="n">
        <v>0</v>
      </c>
      <c r="AA27" s="10">
        <f>AVERAGE(K27,P27,U27,Z27)</f>
        <v/>
      </c>
      <c r="AB27" s="11">
        <f>COUNTIF(G27:Z27,"P")</f>
        <v/>
      </c>
      <c r="AC27" s="12">
        <f>COUNTIF(G27:Z27,"L")</f>
        <v/>
      </c>
      <c r="AD27" s="13">
        <f>COUNTIF(G27:Z27,"A")</f>
        <v/>
      </c>
      <c r="AE27" s="14">
        <f>AB27+AC27</f>
        <v/>
      </c>
      <c r="AF27" s="8">
        <f>AE27/16*10</f>
        <v/>
      </c>
      <c r="AG27" s="8">
        <f>AA27</f>
        <v/>
      </c>
      <c r="AH27" s="8">
        <f>AF27+AG27</f>
        <v/>
      </c>
      <c r="AI27" s="5" t="n"/>
    </row>
    <row r="28">
      <c r="A28" s="50" t="n"/>
      <c r="B28" s="4" t="n">
        <v>20</v>
      </c>
      <c r="C28" s="4" t="n"/>
      <c r="D28" s="7" t="n"/>
      <c r="E28" s="15" t="inlineStr">
        <is>
          <t>NA</t>
        </is>
      </c>
      <c r="F28" s="15" t="inlineStr">
        <is>
          <t>NA</t>
        </is>
      </c>
      <c r="G28" s="4" t="n"/>
      <c r="H28" s="4" t="n"/>
      <c r="I28" s="4" t="n"/>
      <c r="J28" s="4" t="n"/>
      <c r="K28" s="9" t="n">
        <v>0</v>
      </c>
      <c r="L28" s="4" t="n"/>
      <c r="M28" s="4" t="n"/>
      <c r="N28" s="4" t="n"/>
      <c r="O28" s="4" t="n"/>
      <c r="P28" s="9" t="n">
        <v>0</v>
      </c>
      <c r="Q28" s="4" t="n"/>
      <c r="R28" s="4" t="n"/>
      <c r="S28" s="4" t="n"/>
      <c r="T28" s="4" t="n"/>
      <c r="U28" s="9" t="n">
        <v>0</v>
      </c>
      <c r="V28" s="4" t="n"/>
      <c r="W28" s="4" t="n"/>
      <c r="X28" s="4" t="n"/>
      <c r="Y28" s="4" t="n"/>
      <c r="Z28" s="9" t="n">
        <v>0</v>
      </c>
      <c r="AA28" s="10">
        <f>AVERAGE(K28,P28,U28,Z28)</f>
        <v/>
      </c>
      <c r="AB28" s="11">
        <f>COUNTIF(G28:Z28,"P")</f>
        <v/>
      </c>
      <c r="AC28" s="12">
        <f>COUNTIF(G28:Z28,"L")</f>
        <v/>
      </c>
      <c r="AD28" s="13">
        <f>COUNTIF(G28:Z28,"A")</f>
        <v/>
      </c>
      <c r="AE28" s="14">
        <f>AB28+AC28</f>
        <v/>
      </c>
      <c r="AF28" s="8">
        <f>AE28/16*10</f>
        <v/>
      </c>
      <c r="AG28" s="8">
        <f>AA28</f>
        <v/>
      </c>
      <c r="AH28" s="8">
        <f>AF28+AG28</f>
        <v/>
      </c>
      <c r="AI28" s="5" t="n"/>
    </row>
    <row r="29">
      <c r="A29" s="50" t="n"/>
      <c r="B29" s="4" t="n">
        <v>21</v>
      </c>
      <c r="C29" s="4" t="n"/>
      <c r="D29" s="7" t="n"/>
      <c r="E29" s="15" t="inlineStr">
        <is>
          <t>NA</t>
        </is>
      </c>
      <c r="F29" s="15" t="inlineStr">
        <is>
          <t>NA</t>
        </is>
      </c>
      <c r="G29" s="4" t="n"/>
      <c r="H29" s="4" t="n"/>
      <c r="I29" s="4" t="n"/>
      <c r="J29" s="4" t="n"/>
      <c r="K29" s="9" t="n">
        <v>0</v>
      </c>
      <c r="L29" s="4" t="n"/>
      <c r="M29" s="4" t="n"/>
      <c r="N29" s="4" t="n"/>
      <c r="O29" s="4" t="n"/>
      <c r="P29" s="9" t="n">
        <v>0</v>
      </c>
      <c r="Q29" s="4" t="n"/>
      <c r="R29" s="4" t="n"/>
      <c r="S29" s="4" t="n"/>
      <c r="T29" s="4" t="n"/>
      <c r="U29" s="9" t="n">
        <v>0</v>
      </c>
      <c r="V29" s="4" t="n"/>
      <c r="W29" s="4" t="n"/>
      <c r="X29" s="4" t="n"/>
      <c r="Y29" s="4" t="n"/>
      <c r="Z29" s="9" t="n">
        <v>0</v>
      </c>
      <c r="AA29" s="10">
        <f>AVERAGE(K29,P29,U29,Z29)</f>
        <v/>
      </c>
      <c r="AB29" s="11">
        <f>COUNTIF(G29:Z29,"P")</f>
        <v/>
      </c>
      <c r="AC29" s="12">
        <f>COUNTIF(G29:Z29,"L")</f>
        <v/>
      </c>
      <c r="AD29" s="13">
        <f>COUNTIF(G29:Z29,"A")</f>
        <v/>
      </c>
      <c r="AE29" s="14">
        <f>AB29+AC29</f>
        <v/>
      </c>
      <c r="AF29" s="8">
        <f>AE29/16*10</f>
        <v/>
      </c>
      <c r="AG29" s="8">
        <f>AA29</f>
        <v/>
      </c>
      <c r="AH29" s="8">
        <f>AF29+AG29</f>
        <v/>
      </c>
      <c r="AI29" s="5" t="n"/>
    </row>
    <row r="30">
      <c r="A30" s="50" t="n"/>
      <c r="B30" s="4" t="n">
        <v>22</v>
      </c>
      <c r="C30" s="4" t="n"/>
      <c r="D30" s="7" t="n"/>
      <c r="E30" s="15" t="inlineStr">
        <is>
          <t>NA</t>
        </is>
      </c>
      <c r="F30" s="15" t="inlineStr">
        <is>
          <t>NA</t>
        </is>
      </c>
      <c r="G30" s="4" t="n"/>
      <c r="H30" s="4" t="n"/>
      <c r="I30" s="4" t="n"/>
      <c r="J30" s="4" t="n"/>
      <c r="K30" s="9" t="n">
        <v>0</v>
      </c>
      <c r="L30" s="4" t="n"/>
      <c r="M30" s="4" t="n"/>
      <c r="N30" s="4" t="n"/>
      <c r="O30" s="4" t="n"/>
      <c r="P30" s="9" t="n">
        <v>0</v>
      </c>
      <c r="Q30" s="4" t="n"/>
      <c r="R30" s="4" t="n"/>
      <c r="S30" s="4" t="n"/>
      <c r="T30" s="4" t="n"/>
      <c r="U30" s="9" t="n">
        <v>0</v>
      </c>
      <c r="V30" s="4" t="n"/>
      <c r="W30" s="4" t="n"/>
      <c r="X30" s="4" t="n"/>
      <c r="Y30" s="4" t="n"/>
      <c r="Z30" s="9" t="n">
        <v>0</v>
      </c>
      <c r="AA30" s="10">
        <f>AVERAGE(K30,P30,U30,Z30)</f>
        <v/>
      </c>
      <c r="AB30" s="11">
        <f>COUNTIF(G30:Z30,"P")</f>
        <v/>
      </c>
      <c r="AC30" s="12">
        <f>COUNTIF(G30:Z30,"L")</f>
        <v/>
      </c>
      <c r="AD30" s="13">
        <f>COUNTIF(G30:Z30,"A")</f>
        <v/>
      </c>
      <c r="AE30" s="14">
        <f>AB30+AC30</f>
        <v/>
      </c>
      <c r="AF30" s="8">
        <f>AE30/16*10</f>
        <v/>
      </c>
      <c r="AG30" s="8">
        <f>AA30</f>
        <v/>
      </c>
      <c r="AH30" s="8">
        <f>AF30+AG30</f>
        <v/>
      </c>
      <c r="AI30" s="5" t="n"/>
    </row>
    <row r="31">
      <c r="A31" s="50" t="n"/>
      <c r="B31" s="4" t="n">
        <v>23</v>
      </c>
      <c r="C31" s="4" t="n"/>
      <c r="D31" s="7" t="n"/>
      <c r="E31" s="15" t="inlineStr">
        <is>
          <t>NA</t>
        </is>
      </c>
      <c r="F31" s="15" t="inlineStr">
        <is>
          <t>NA</t>
        </is>
      </c>
      <c r="G31" s="4" t="n"/>
      <c r="H31" s="4" t="n"/>
      <c r="I31" s="4" t="n"/>
      <c r="J31" s="4" t="n"/>
      <c r="K31" s="9" t="n">
        <v>0</v>
      </c>
      <c r="L31" s="4" t="n"/>
      <c r="M31" s="4" t="n"/>
      <c r="N31" s="4" t="n"/>
      <c r="O31" s="4" t="n"/>
      <c r="P31" s="9" t="n">
        <v>0</v>
      </c>
      <c r="Q31" s="4" t="n"/>
      <c r="R31" s="4" t="n"/>
      <c r="S31" s="4" t="n"/>
      <c r="T31" s="4" t="n"/>
      <c r="U31" s="9" t="n">
        <v>0</v>
      </c>
      <c r="V31" s="4" t="n"/>
      <c r="W31" s="4" t="n"/>
      <c r="X31" s="4" t="n"/>
      <c r="Y31" s="4" t="n"/>
      <c r="Z31" s="9" t="n">
        <v>0</v>
      </c>
      <c r="AA31" s="10">
        <f>AVERAGE(K31,P31,U31,Z31)</f>
        <v/>
      </c>
      <c r="AB31" s="11">
        <f>COUNTIF(G31:Z31,"P")</f>
        <v/>
      </c>
      <c r="AC31" s="12">
        <f>COUNTIF(G31:Z31,"L")</f>
        <v/>
      </c>
      <c r="AD31" s="13">
        <f>COUNTIF(G31:Z31,"A")</f>
        <v/>
      </c>
      <c r="AE31" s="14">
        <f>AB31+AC31</f>
        <v/>
      </c>
      <c r="AF31" s="8">
        <f>AE31/16*10</f>
        <v/>
      </c>
      <c r="AG31" s="8">
        <f>AA31</f>
        <v/>
      </c>
      <c r="AH31" s="8">
        <f>AF31+AG31</f>
        <v/>
      </c>
      <c r="AI31" s="5" t="n"/>
    </row>
    <row r="32">
      <c r="A32" s="50" t="n"/>
      <c r="B32" s="4" t="n">
        <v>24</v>
      </c>
      <c r="C32" s="4" t="n"/>
      <c r="D32" s="7" t="n"/>
      <c r="E32" s="15" t="inlineStr">
        <is>
          <t>NA</t>
        </is>
      </c>
      <c r="F32" s="15" t="inlineStr">
        <is>
          <t>NA</t>
        </is>
      </c>
      <c r="G32" s="4" t="n"/>
      <c r="H32" s="4" t="n"/>
      <c r="I32" s="4" t="n"/>
      <c r="J32" s="4" t="n"/>
      <c r="K32" s="9" t="n">
        <v>0</v>
      </c>
      <c r="L32" s="4" t="n"/>
      <c r="M32" s="4" t="n"/>
      <c r="N32" s="4" t="n"/>
      <c r="O32" s="4" t="n"/>
      <c r="P32" s="9" t="n">
        <v>0</v>
      </c>
      <c r="Q32" s="4" t="n"/>
      <c r="R32" s="4" t="n"/>
      <c r="S32" s="4" t="n"/>
      <c r="T32" s="4" t="n"/>
      <c r="U32" s="9" t="n">
        <v>0</v>
      </c>
      <c r="V32" s="4" t="n"/>
      <c r="W32" s="4" t="n"/>
      <c r="X32" s="4" t="n"/>
      <c r="Y32" s="4" t="n"/>
      <c r="Z32" s="9" t="n">
        <v>0</v>
      </c>
      <c r="AA32" s="10">
        <f>AVERAGE(K32,P32,U32,Z32)</f>
        <v/>
      </c>
      <c r="AB32" s="11">
        <f>COUNTIF(G32:Z32,"P")</f>
        <v/>
      </c>
      <c r="AC32" s="12">
        <f>COUNTIF(G32:Z32,"L")</f>
        <v/>
      </c>
      <c r="AD32" s="13">
        <f>COUNTIF(G32:Z32,"A")</f>
        <v/>
      </c>
      <c r="AE32" s="14">
        <f>AB32+AC32</f>
        <v/>
      </c>
      <c r="AF32" s="8">
        <f>AE32/16*10</f>
        <v/>
      </c>
      <c r="AG32" s="8">
        <f>AA32</f>
        <v/>
      </c>
      <c r="AH32" s="8">
        <f>AF32+AG32</f>
        <v/>
      </c>
      <c r="AI32" s="5" t="n"/>
    </row>
    <row r="33">
      <c r="A33" s="50" t="n"/>
      <c r="B33" s="4" t="n">
        <v>25</v>
      </c>
      <c r="C33" s="4" t="n"/>
      <c r="D33" s="7" t="n"/>
      <c r="E33" s="15" t="inlineStr">
        <is>
          <t>NA</t>
        </is>
      </c>
      <c r="F33" s="15" t="inlineStr">
        <is>
          <t>NA</t>
        </is>
      </c>
      <c r="G33" s="4" t="n"/>
      <c r="H33" s="4" t="n"/>
      <c r="I33" s="4" t="n"/>
      <c r="J33" s="4" t="n"/>
      <c r="K33" s="9" t="n">
        <v>0</v>
      </c>
      <c r="L33" s="4" t="n"/>
      <c r="M33" s="4" t="n"/>
      <c r="N33" s="4" t="n"/>
      <c r="O33" s="4" t="n"/>
      <c r="P33" s="9" t="n">
        <v>0</v>
      </c>
      <c r="Q33" s="4" t="n"/>
      <c r="R33" s="4" t="n"/>
      <c r="S33" s="4" t="n"/>
      <c r="T33" s="4" t="n"/>
      <c r="U33" s="9" t="n">
        <v>0</v>
      </c>
      <c r="V33" s="4" t="n"/>
      <c r="W33" s="4" t="n"/>
      <c r="X33" s="4" t="n"/>
      <c r="Y33" s="4" t="n"/>
      <c r="Z33" s="9" t="n">
        <v>0</v>
      </c>
      <c r="AA33" s="10">
        <f>AVERAGE(K33,P33,U33,Z33)</f>
        <v/>
      </c>
      <c r="AB33" s="11">
        <f>COUNTIF(G33:Z33,"P")</f>
        <v/>
      </c>
      <c r="AC33" s="12">
        <f>COUNTIF(G33:Z33,"L")</f>
        <v/>
      </c>
      <c r="AD33" s="13">
        <f>COUNTIF(G33:Z33,"A")</f>
        <v/>
      </c>
      <c r="AE33" s="14">
        <f>AB33+AC33</f>
        <v/>
      </c>
      <c r="AF33" s="8">
        <f>AE33/16*10</f>
        <v/>
      </c>
      <c r="AG33" s="8">
        <f>AA33</f>
        <v/>
      </c>
      <c r="AH33" s="8">
        <f>AF33+AG33</f>
        <v/>
      </c>
      <c r="AI33" s="5" t="n"/>
    </row>
    <row r="34">
      <c r="A34" s="50" t="n"/>
      <c r="B34" s="4" t="n">
        <v>26</v>
      </c>
      <c r="C34" s="4" t="n"/>
      <c r="D34" s="7" t="n"/>
      <c r="E34" s="15" t="inlineStr">
        <is>
          <t>NA</t>
        </is>
      </c>
      <c r="F34" s="15" t="inlineStr">
        <is>
          <t>NA</t>
        </is>
      </c>
      <c r="G34" s="4" t="n"/>
      <c r="H34" s="4" t="n"/>
      <c r="I34" s="4" t="n"/>
      <c r="J34" s="4" t="n"/>
      <c r="K34" s="9" t="n">
        <v>0</v>
      </c>
      <c r="L34" s="4" t="n"/>
      <c r="M34" s="4" t="n"/>
      <c r="N34" s="4" t="n"/>
      <c r="O34" s="4" t="n"/>
      <c r="P34" s="9" t="n">
        <v>0</v>
      </c>
      <c r="Q34" s="4" t="n"/>
      <c r="R34" s="4" t="n"/>
      <c r="S34" s="4" t="n"/>
      <c r="T34" s="4" t="n"/>
      <c r="U34" s="9" t="n">
        <v>0</v>
      </c>
      <c r="V34" s="4" t="n"/>
      <c r="W34" s="4" t="n"/>
      <c r="X34" s="4" t="n"/>
      <c r="Y34" s="4" t="n"/>
      <c r="Z34" s="9" t="n">
        <v>0</v>
      </c>
      <c r="AA34" s="10">
        <f>AVERAGE(K34,P34,U34,Z34)</f>
        <v/>
      </c>
      <c r="AB34" s="11">
        <f>COUNTIF(G34:Z34,"P")</f>
        <v/>
      </c>
      <c r="AC34" s="12">
        <f>COUNTIF(G34:Z34,"L")</f>
        <v/>
      </c>
      <c r="AD34" s="13">
        <f>COUNTIF(G34:Z34,"A")</f>
        <v/>
      </c>
      <c r="AE34" s="14">
        <f>AB34+AC34</f>
        <v/>
      </c>
      <c r="AF34" s="8">
        <f>AE34/16*10</f>
        <v/>
      </c>
      <c r="AG34" s="8">
        <f>AA34</f>
        <v/>
      </c>
      <c r="AH34" s="8">
        <f>AF34+AG34</f>
        <v/>
      </c>
      <c r="AI34" s="5" t="n"/>
    </row>
    <row r="35">
      <c r="A35" s="50" t="n"/>
      <c r="B35" s="4" t="n">
        <v>27</v>
      </c>
      <c r="C35" s="4" t="n"/>
      <c r="D35" s="7" t="n"/>
      <c r="E35" s="15" t="inlineStr">
        <is>
          <t>NA</t>
        </is>
      </c>
      <c r="F35" s="15" t="inlineStr">
        <is>
          <t>NA</t>
        </is>
      </c>
      <c r="G35" s="4" t="n"/>
      <c r="H35" s="4" t="n"/>
      <c r="I35" s="4" t="n"/>
      <c r="J35" s="4" t="n"/>
      <c r="K35" s="9" t="n">
        <v>0</v>
      </c>
      <c r="L35" s="4" t="n"/>
      <c r="M35" s="4" t="n"/>
      <c r="N35" s="4" t="n"/>
      <c r="O35" s="4" t="n"/>
      <c r="P35" s="9" t="n">
        <v>0</v>
      </c>
      <c r="Q35" s="4" t="n"/>
      <c r="R35" s="4" t="n"/>
      <c r="S35" s="4" t="n"/>
      <c r="T35" s="4" t="n"/>
      <c r="U35" s="9" t="n">
        <v>0</v>
      </c>
      <c r="V35" s="4" t="n"/>
      <c r="W35" s="4" t="n"/>
      <c r="X35" s="4" t="n"/>
      <c r="Y35" s="4" t="n"/>
      <c r="Z35" s="9" t="n">
        <v>0</v>
      </c>
      <c r="AA35" s="10">
        <f>AVERAGE(K35,P35,U35,Z35)</f>
        <v/>
      </c>
      <c r="AB35" s="11">
        <f>COUNTIF(G35:Z35,"P")</f>
        <v/>
      </c>
      <c r="AC35" s="12">
        <f>COUNTIF(G35:Z35,"L")</f>
        <v/>
      </c>
      <c r="AD35" s="13">
        <f>COUNTIF(G35:Z35,"A")</f>
        <v/>
      </c>
      <c r="AE35" s="14">
        <f>AB35+AC35</f>
        <v/>
      </c>
      <c r="AF35" s="8">
        <f>AE35/16*10</f>
        <v/>
      </c>
      <c r="AG35" s="8">
        <f>AA35</f>
        <v/>
      </c>
      <c r="AH35" s="8">
        <f>AF35+AG35</f>
        <v/>
      </c>
      <c r="AI35" s="5" t="n"/>
    </row>
    <row r="36">
      <c r="A36" s="50" t="n"/>
      <c r="B36" s="4" t="n">
        <v>28</v>
      </c>
      <c r="C36" s="4" t="n"/>
      <c r="D36" s="7" t="inlineStr">
        <is>
          <t>Mariam</t>
        </is>
      </c>
      <c r="E36" s="15" t="inlineStr">
        <is>
          <t>NA</t>
        </is>
      </c>
      <c r="F36" s="15" t="inlineStr">
        <is>
          <t>NA</t>
        </is>
      </c>
      <c r="G36" s="4" t="n"/>
      <c r="H36" s="4" t="n"/>
      <c r="I36" s="4" t="n"/>
      <c r="J36" s="4" t="n"/>
      <c r="K36" s="9" t="n">
        <v>5</v>
      </c>
      <c r="L36" s="4" t="inlineStr">
        <is>
          <t>p</t>
        </is>
      </c>
      <c r="M36" s="4" t="inlineStr">
        <is>
          <t>p</t>
        </is>
      </c>
      <c r="N36" s="4" t="inlineStr">
        <is>
          <t>p</t>
        </is>
      </c>
      <c r="O36" s="4" t="inlineStr">
        <is>
          <t>p</t>
        </is>
      </c>
      <c r="P36" s="9" t="n">
        <v>5</v>
      </c>
      <c r="Q36" s="4" t="inlineStr">
        <is>
          <t>p</t>
        </is>
      </c>
      <c r="R36" s="4" t="inlineStr">
        <is>
          <t>p</t>
        </is>
      </c>
      <c r="S36" s="4" t="inlineStr">
        <is>
          <t>p</t>
        </is>
      </c>
      <c r="T36" s="4" t="inlineStr">
        <is>
          <t>p</t>
        </is>
      </c>
      <c r="U36" s="9" t="n">
        <v>5</v>
      </c>
      <c r="V36" s="4" t="inlineStr">
        <is>
          <t>a</t>
        </is>
      </c>
      <c r="W36" s="4" t="inlineStr">
        <is>
          <t>a</t>
        </is>
      </c>
      <c r="X36" s="4" t="inlineStr">
        <is>
          <t>a</t>
        </is>
      </c>
      <c r="Y36" s="4" t="inlineStr">
        <is>
          <t>a</t>
        </is>
      </c>
      <c r="Z36" s="9" t="n">
        <v>5</v>
      </c>
      <c r="AA36" s="10">
        <f>AVERAGE(K36,P36,U36,Z36)</f>
        <v/>
      </c>
      <c r="AB36" s="11">
        <f>COUNTIF(G36:Z36,"P")</f>
        <v/>
      </c>
      <c r="AC36" s="12">
        <f>COUNTIF(G36:Z36,"L")</f>
        <v/>
      </c>
      <c r="AD36" s="13">
        <f>COUNTIF(G36:Z36,"A")</f>
        <v/>
      </c>
      <c r="AE36" s="14">
        <f>AB36+AC36</f>
        <v/>
      </c>
      <c r="AF36" s="8">
        <f>AE36/16*10</f>
        <v/>
      </c>
      <c r="AG36" s="8">
        <f>AA36</f>
        <v/>
      </c>
      <c r="AH36" s="8">
        <f>AF36+AG36</f>
        <v/>
      </c>
      <c r="AI36" s="5" t="n"/>
    </row>
    <row r="37">
      <c r="A37" s="50" t="n"/>
      <c r="B37" s="4" t="n">
        <v>29</v>
      </c>
      <c r="C37" s="4" t="n"/>
      <c r="D37" s="7" t="n"/>
      <c r="E37" s="15" t="inlineStr">
        <is>
          <t>NA</t>
        </is>
      </c>
      <c r="F37" s="15" t="inlineStr">
        <is>
          <t>NA</t>
        </is>
      </c>
      <c r="G37" s="4" t="n"/>
      <c r="H37" s="4" t="n"/>
      <c r="I37" s="4" t="n"/>
      <c r="J37" s="4" t="n"/>
      <c r="K37" s="9" t="n">
        <v>0</v>
      </c>
      <c r="L37" s="4" t="n"/>
      <c r="M37" s="4" t="n"/>
      <c r="N37" s="4" t="n"/>
      <c r="O37" s="4" t="n"/>
      <c r="P37" s="9" t="n">
        <v>0</v>
      </c>
      <c r="Q37" s="4" t="n"/>
      <c r="R37" s="4" t="n"/>
      <c r="S37" s="4" t="n"/>
      <c r="T37" s="4" t="n"/>
      <c r="U37" s="9" t="n">
        <v>0</v>
      </c>
      <c r="V37" s="4" t="n"/>
      <c r="W37" s="4" t="n"/>
      <c r="X37" s="4" t="n"/>
      <c r="Y37" s="4" t="n"/>
      <c r="Z37" s="9" t="n">
        <v>0</v>
      </c>
      <c r="AA37" s="10">
        <f>AVERAGE(K37,P37,U37,Z37)</f>
        <v/>
      </c>
      <c r="AB37" s="11">
        <f>COUNTIF(G37:Z37,"P")</f>
        <v/>
      </c>
      <c r="AC37" s="12">
        <f>COUNTIF(G37:Z37,"L")</f>
        <v/>
      </c>
      <c r="AD37" s="13">
        <f>COUNTIF(G37:Z37,"A")</f>
        <v/>
      </c>
      <c r="AE37" s="14">
        <f>AB37+AC37</f>
        <v/>
      </c>
      <c r="AF37" s="8">
        <f>AE37/16*10</f>
        <v/>
      </c>
      <c r="AG37" s="8">
        <f>AA37</f>
        <v/>
      </c>
      <c r="AH37" s="8">
        <f>AF37+AG37</f>
        <v/>
      </c>
      <c r="AI37" s="5" t="n"/>
    </row>
    <row r="38">
      <c r="A38" s="50" t="n"/>
      <c r="B38" s="4" t="n">
        <v>30</v>
      </c>
      <c r="C38" s="4" t="n"/>
      <c r="D38" s="7" t="n"/>
      <c r="E38" s="15" t="inlineStr">
        <is>
          <t>NA</t>
        </is>
      </c>
      <c r="F38" s="15" t="inlineStr">
        <is>
          <t>NA</t>
        </is>
      </c>
      <c r="G38" s="4" t="n"/>
      <c r="H38" s="4" t="n"/>
      <c r="I38" s="4" t="n"/>
      <c r="J38" s="4" t="n"/>
      <c r="K38" s="9" t="n">
        <v>0</v>
      </c>
      <c r="L38" s="4" t="n"/>
      <c r="M38" s="4" t="n"/>
      <c r="N38" s="4" t="n"/>
      <c r="O38" s="4" t="n"/>
      <c r="P38" s="9" t="n">
        <v>0</v>
      </c>
      <c r="Q38" s="4" t="n"/>
      <c r="R38" s="4" t="n"/>
      <c r="S38" s="4" t="n"/>
      <c r="T38" s="4" t="n"/>
      <c r="U38" s="9" t="n">
        <v>0</v>
      </c>
      <c r="V38" s="4" t="n"/>
      <c r="W38" s="4" t="n"/>
      <c r="X38" s="4" t="n"/>
      <c r="Y38" s="4" t="n"/>
      <c r="Z38" s="9" t="n">
        <v>0</v>
      </c>
      <c r="AA38" s="10">
        <f>AVERAGE(K38,P38,U38,Z38)</f>
        <v/>
      </c>
      <c r="AB38" s="11">
        <f>COUNTIF(G38:Z38,"P")</f>
        <v/>
      </c>
      <c r="AC38" s="12">
        <f>COUNTIF(G38:Z38,"L")</f>
        <v/>
      </c>
      <c r="AD38" s="13">
        <f>COUNTIF(G38:Z38,"A")</f>
        <v/>
      </c>
      <c r="AE38" s="14">
        <f>AB38+AC38</f>
        <v/>
      </c>
      <c r="AF38" s="8">
        <f>AE38/16*10</f>
        <v/>
      </c>
      <c r="AG38" s="8">
        <f>AA38</f>
        <v/>
      </c>
      <c r="AH38" s="8">
        <f>AF38+AG38</f>
        <v/>
      </c>
      <c r="AI38" s="5" t="n"/>
    </row>
    <row r="39">
      <c r="A39" s="50" t="n"/>
      <c r="B39" s="4" t="n">
        <v>31</v>
      </c>
      <c r="C39" s="4" t="n"/>
      <c r="D39" s="7" t="n"/>
      <c r="E39" s="15" t="inlineStr">
        <is>
          <t>NA</t>
        </is>
      </c>
      <c r="F39" s="15" t="inlineStr">
        <is>
          <t>NA</t>
        </is>
      </c>
      <c r="G39" s="4" t="n"/>
      <c r="H39" s="4" t="n"/>
      <c r="I39" s="4" t="n"/>
      <c r="J39" s="4" t="n"/>
      <c r="K39" s="9" t="n">
        <v>0</v>
      </c>
      <c r="L39" s="4" t="n"/>
      <c r="M39" s="4" t="n"/>
      <c r="N39" s="4" t="n"/>
      <c r="O39" s="4" t="n"/>
      <c r="P39" s="9" t="n">
        <v>0</v>
      </c>
      <c r="Q39" s="4" t="n"/>
      <c r="R39" s="4" t="n"/>
      <c r="S39" s="4" t="n"/>
      <c r="T39" s="4" t="n"/>
      <c r="U39" s="9" t="n">
        <v>0</v>
      </c>
      <c r="V39" s="4" t="n"/>
      <c r="W39" s="4" t="n"/>
      <c r="X39" s="4" t="n"/>
      <c r="Y39" s="4" t="n"/>
      <c r="Z39" s="9" t="n">
        <v>0</v>
      </c>
      <c r="AA39" s="10">
        <f>AVERAGE(K39,P39,U39,Z39)</f>
        <v/>
      </c>
      <c r="AB39" s="11">
        <f>COUNTIF(G39:Z39,"P")</f>
        <v/>
      </c>
      <c r="AC39" s="12">
        <f>COUNTIF(G39:Z39,"L")</f>
        <v/>
      </c>
      <c r="AD39" s="13">
        <f>COUNTIF(G39:Z39,"A")</f>
        <v/>
      </c>
      <c r="AE39" s="14">
        <f>AB39+AC39</f>
        <v/>
      </c>
      <c r="AF39" s="8">
        <f>AE39/16*10</f>
        <v/>
      </c>
      <c r="AG39" s="8">
        <f>AA39</f>
        <v/>
      </c>
      <c r="AH39" s="8">
        <f>AF39+AG39</f>
        <v/>
      </c>
      <c r="AI39" s="5" t="n"/>
    </row>
    <row r="40">
      <c r="A40" s="50" t="n"/>
      <c r="B40" s="4" t="n">
        <v>32</v>
      </c>
      <c r="C40" s="4" t="n"/>
      <c r="D40" s="7" t="n"/>
      <c r="E40" s="15" t="inlineStr">
        <is>
          <t>NA</t>
        </is>
      </c>
      <c r="F40" s="15" t="inlineStr">
        <is>
          <t>NA</t>
        </is>
      </c>
      <c r="G40" s="4" t="n"/>
      <c r="H40" s="4" t="n"/>
      <c r="I40" s="4" t="n"/>
      <c r="J40" s="4" t="n"/>
      <c r="K40" s="9" t="n">
        <v>0</v>
      </c>
      <c r="L40" s="4" t="n"/>
      <c r="M40" s="4" t="n"/>
      <c r="N40" s="4" t="n"/>
      <c r="O40" s="4" t="n"/>
      <c r="P40" s="9" t="n">
        <v>0</v>
      </c>
      <c r="Q40" s="4" t="n"/>
      <c r="R40" s="4" t="n"/>
      <c r="S40" s="4" t="n"/>
      <c r="T40" s="4" t="n"/>
      <c r="U40" s="9" t="n">
        <v>0</v>
      </c>
      <c r="V40" s="4" t="n"/>
      <c r="W40" s="4" t="n"/>
      <c r="X40" s="4" t="n"/>
      <c r="Y40" s="4" t="n"/>
      <c r="Z40" s="9" t="n">
        <v>0</v>
      </c>
      <c r="AA40" s="10">
        <f>AVERAGE(K40,P40,U40,Z40)</f>
        <v/>
      </c>
      <c r="AB40" s="11">
        <f>COUNTIF(G40:Z40,"P")</f>
        <v/>
      </c>
      <c r="AC40" s="12">
        <f>COUNTIF(G40:Z40,"L")</f>
        <v/>
      </c>
      <c r="AD40" s="13">
        <f>COUNTIF(G40:Z40,"A")</f>
        <v/>
      </c>
      <c r="AE40" s="14">
        <f>AB40+AC40</f>
        <v/>
      </c>
      <c r="AF40" s="8">
        <f>AE40/16*10</f>
        <v/>
      </c>
      <c r="AG40" s="8">
        <f>AA40</f>
        <v/>
      </c>
      <c r="AH40" s="8">
        <f>AF40+AG40</f>
        <v/>
      </c>
      <c r="AI40" s="5" t="n"/>
    </row>
    <row r="41">
      <c r="A41" s="50" t="n"/>
      <c r="B41" s="4" t="n">
        <v>33</v>
      </c>
      <c r="C41" s="4" t="n"/>
      <c r="D41" s="7" t="n"/>
      <c r="E41" s="15" t="inlineStr">
        <is>
          <t>NA</t>
        </is>
      </c>
      <c r="F41" s="15" t="inlineStr">
        <is>
          <t>NA</t>
        </is>
      </c>
      <c r="G41" s="4" t="n"/>
      <c r="H41" s="4" t="n"/>
      <c r="I41" s="4" t="n"/>
      <c r="J41" s="4" t="n"/>
      <c r="K41" s="9" t="n">
        <v>0</v>
      </c>
      <c r="L41" s="4" t="n"/>
      <c r="M41" s="4" t="n"/>
      <c r="N41" s="4" t="n"/>
      <c r="O41" s="4" t="n"/>
      <c r="P41" s="9" t="n">
        <v>0</v>
      </c>
      <c r="Q41" s="4" t="n"/>
      <c r="R41" s="4" t="n"/>
      <c r="S41" s="4" t="n"/>
      <c r="T41" s="4" t="n"/>
      <c r="U41" s="9" t="n">
        <v>0</v>
      </c>
      <c r="V41" s="4" t="n"/>
      <c r="W41" s="4" t="n"/>
      <c r="X41" s="4" t="n"/>
      <c r="Y41" s="4" t="n"/>
      <c r="Z41" s="9" t="n">
        <v>0</v>
      </c>
      <c r="AA41" s="10">
        <f>AVERAGE(K41,P41,U41,Z41)</f>
        <v/>
      </c>
      <c r="AB41" s="11">
        <f>COUNTIF(G41:Z41,"P")</f>
        <v/>
      </c>
      <c r="AC41" s="12">
        <f>COUNTIF(G41:Z41,"L")</f>
        <v/>
      </c>
      <c r="AD41" s="13">
        <f>COUNTIF(G41:Z41,"A")</f>
        <v/>
      </c>
      <c r="AE41" s="14">
        <f>AB41+AC41</f>
        <v/>
      </c>
      <c r="AF41" s="8">
        <f>AE41/16*10</f>
        <v/>
      </c>
      <c r="AG41" s="8">
        <f>AA41</f>
        <v/>
      </c>
      <c r="AH41" s="8">
        <f>AF41+AG41</f>
        <v/>
      </c>
      <c r="AI41" s="5" t="n"/>
    </row>
    <row r="42">
      <c r="A42" s="50" t="n"/>
      <c r="B42" s="4" t="n">
        <v>34</v>
      </c>
      <c r="C42" s="4" t="n"/>
      <c r="D42" s="7" t="n"/>
      <c r="E42" s="15" t="inlineStr">
        <is>
          <t>NA</t>
        </is>
      </c>
      <c r="F42" s="15" t="inlineStr">
        <is>
          <t>NA</t>
        </is>
      </c>
      <c r="G42" s="4" t="n"/>
      <c r="H42" s="4" t="n"/>
      <c r="I42" s="4" t="n"/>
      <c r="J42" s="4" t="n"/>
      <c r="K42" s="9" t="n">
        <v>0</v>
      </c>
      <c r="L42" s="4" t="n"/>
      <c r="M42" s="4" t="n"/>
      <c r="N42" s="4" t="n"/>
      <c r="O42" s="4" t="n"/>
      <c r="P42" s="9" t="n">
        <v>0</v>
      </c>
      <c r="Q42" s="4" t="n"/>
      <c r="R42" s="4" t="n"/>
      <c r="S42" s="4" t="n"/>
      <c r="T42" s="4" t="n"/>
      <c r="U42" s="9" t="n">
        <v>0</v>
      </c>
      <c r="V42" s="4" t="n"/>
      <c r="W42" s="4" t="n"/>
      <c r="X42" s="4" t="n"/>
      <c r="Y42" s="4" t="n"/>
      <c r="Z42" s="9" t="n">
        <v>0</v>
      </c>
      <c r="AA42" s="10">
        <f>AVERAGE(K42,P42,U42,Z42)</f>
        <v/>
      </c>
      <c r="AB42" s="11">
        <f>COUNTIF(G42:Z42,"P")</f>
        <v/>
      </c>
      <c r="AC42" s="12">
        <f>COUNTIF(G42:Z42,"L")</f>
        <v/>
      </c>
      <c r="AD42" s="13">
        <f>COUNTIF(G42:Z42,"A")</f>
        <v/>
      </c>
      <c r="AE42" s="14">
        <f>AB42+AC42</f>
        <v/>
      </c>
      <c r="AF42" s="8">
        <f>AE42/16*10</f>
        <v/>
      </c>
      <c r="AG42" s="8">
        <f>AA42</f>
        <v/>
      </c>
      <c r="AH42" s="8">
        <f>AF42+AG42</f>
        <v/>
      </c>
      <c r="AI42" s="5" t="n"/>
    </row>
    <row r="43">
      <c r="A43" s="50" t="n"/>
      <c r="B43" s="4" t="n">
        <v>35</v>
      </c>
      <c r="C43" s="4" t="n"/>
      <c r="D43" s="7" t="n"/>
      <c r="E43" s="15" t="inlineStr">
        <is>
          <t>NA</t>
        </is>
      </c>
      <c r="F43" s="15" t="inlineStr">
        <is>
          <t>NA</t>
        </is>
      </c>
      <c r="G43" s="4" t="n"/>
      <c r="H43" s="4" t="n"/>
      <c r="I43" s="4" t="n"/>
      <c r="J43" s="4" t="n"/>
      <c r="K43" s="9" t="n">
        <v>0</v>
      </c>
      <c r="L43" s="4" t="n"/>
      <c r="M43" s="4" t="n"/>
      <c r="N43" s="4" t="n"/>
      <c r="O43" s="4" t="n"/>
      <c r="P43" s="9" t="n">
        <v>0</v>
      </c>
      <c r="Q43" s="4" t="n"/>
      <c r="R43" s="4" t="n"/>
      <c r="S43" s="4" t="n"/>
      <c r="T43" s="4" t="n"/>
      <c r="U43" s="9" t="n">
        <v>0</v>
      </c>
      <c r="V43" s="4" t="n"/>
      <c r="W43" s="4" t="n"/>
      <c r="X43" s="4" t="n"/>
      <c r="Y43" s="4" t="n"/>
      <c r="Z43" s="9" t="n">
        <v>0</v>
      </c>
      <c r="AA43" s="10">
        <f>AVERAGE(K43,P43,U43,Z43)</f>
        <v/>
      </c>
      <c r="AB43" s="11">
        <f>COUNTIF(G43:Z43,"P")</f>
        <v/>
      </c>
      <c r="AC43" s="12">
        <f>COUNTIF(G43:Z43,"L")</f>
        <v/>
      </c>
      <c r="AD43" s="13">
        <f>COUNTIF(G43:Z43,"A")</f>
        <v/>
      </c>
      <c r="AE43" s="14">
        <f>AB43+AC43</f>
        <v/>
      </c>
      <c r="AF43" s="8">
        <f>AE43/16*10</f>
        <v/>
      </c>
      <c r="AG43" s="8">
        <f>AA43</f>
        <v/>
      </c>
      <c r="AH43" s="8">
        <f>AF43+AG43</f>
        <v/>
      </c>
      <c r="AI43" s="5" t="n"/>
    </row>
    <row r="44">
      <c r="A44" s="50" t="n"/>
      <c r="B44" s="4" t="n">
        <v>36</v>
      </c>
      <c r="C44" s="4" t="n"/>
      <c r="D44" s="7" t="n"/>
      <c r="E44" s="15" t="inlineStr">
        <is>
          <t>NA</t>
        </is>
      </c>
      <c r="F44" s="15" t="inlineStr">
        <is>
          <t>NA</t>
        </is>
      </c>
      <c r="G44" s="4" t="n"/>
      <c r="H44" s="4" t="n"/>
      <c r="I44" s="4" t="n"/>
      <c r="J44" s="4" t="n"/>
      <c r="K44" s="9" t="n">
        <v>0</v>
      </c>
      <c r="L44" s="4" t="n"/>
      <c r="M44" s="4" t="n"/>
      <c r="N44" s="4" t="n"/>
      <c r="O44" s="4" t="n"/>
      <c r="P44" s="9" t="n">
        <v>0</v>
      </c>
      <c r="Q44" s="4" t="n"/>
      <c r="R44" s="4" t="n"/>
      <c r="S44" s="4" t="n"/>
      <c r="T44" s="4" t="n"/>
      <c r="U44" s="9" t="n">
        <v>0</v>
      </c>
      <c r="V44" s="4" t="n"/>
      <c r="W44" s="4" t="n"/>
      <c r="X44" s="4" t="n"/>
      <c r="Y44" s="4" t="n"/>
      <c r="Z44" s="9" t="n">
        <v>0</v>
      </c>
      <c r="AA44" s="10">
        <f>AVERAGE(K44,P44,U44,Z44)</f>
        <v/>
      </c>
      <c r="AB44" s="11">
        <f>COUNTIF(G44:Z44,"P")</f>
        <v/>
      </c>
      <c r="AC44" s="12">
        <f>COUNTIF(G44:Z44,"L")</f>
        <v/>
      </c>
      <c r="AD44" s="13">
        <f>COUNTIF(G44:Z44,"A")</f>
        <v/>
      </c>
      <c r="AE44" s="14">
        <f>AB44+AC44</f>
        <v/>
      </c>
      <c r="AF44" s="8">
        <f>AE44/16*10</f>
        <v/>
      </c>
      <c r="AG44" s="8">
        <f>AA44</f>
        <v/>
      </c>
      <c r="AH44" s="8">
        <f>AF44+AG44</f>
        <v/>
      </c>
      <c r="AI44" s="5" t="n"/>
    </row>
    <row r="45">
      <c r="A45" s="50" t="n"/>
      <c r="B45" s="4" t="n">
        <v>37</v>
      </c>
      <c r="C45" s="4" t="n"/>
      <c r="D45" s="7" t="n"/>
      <c r="E45" s="15" t="inlineStr">
        <is>
          <t>NA</t>
        </is>
      </c>
      <c r="F45" s="15" t="inlineStr">
        <is>
          <t>NA</t>
        </is>
      </c>
      <c r="G45" s="4" t="n"/>
      <c r="H45" s="4" t="n"/>
      <c r="I45" s="4" t="n"/>
      <c r="J45" s="4" t="n"/>
      <c r="K45" s="9" t="n">
        <v>0</v>
      </c>
      <c r="L45" s="4" t="n"/>
      <c r="M45" s="4" t="n"/>
      <c r="N45" s="4" t="n"/>
      <c r="O45" s="4" t="n"/>
      <c r="P45" s="9" t="n">
        <v>0</v>
      </c>
      <c r="Q45" s="4" t="n"/>
      <c r="R45" s="4" t="n"/>
      <c r="S45" s="4" t="n"/>
      <c r="T45" s="4" t="n"/>
      <c r="U45" s="9" t="n">
        <v>0</v>
      </c>
      <c r="V45" s="4" t="n"/>
      <c r="W45" s="4" t="n"/>
      <c r="X45" s="4" t="n"/>
      <c r="Y45" s="4" t="n"/>
      <c r="Z45" s="9" t="n">
        <v>0</v>
      </c>
      <c r="AA45" s="10">
        <f>AVERAGE(K45,P45,U45,Z45)</f>
        <v/>
      </c>
      <c r="AB45" s="11">
        <f>COUNTIF(G45:Z45,"P")</f>
        <v/>
      </c>
      <c r="AC45" s="12">
        <f>COUNTIF(G45:Z45,"L")</f>
        <v/>
      </c>
      <c r="AD45" s="13">
        <f>COUNTIF(G45:Z45,"A")</f>
        <v/>
      </c>
      <c r="AE45" s="14">
        <f>AB45+AC45</f>
        <v/>
      </c>
      <c r="AF45" s="8">
        <f>AE45/16*10</f>
        <v/>
      </c>
      <c r="AG45" s="8">
        <f>AA45</f>
        <v/>
      </c>
      <c r="AH45" s="8">
        <f>AF45+AG45</f>
        <v/>
      </c>
      <c r="AI45" s="5" t="n"/>
    </row>
    <row r="46">
      <c r="A46" s="50" t="n"/>
      <c r="B46" s="4" t="n">
        <v>38</v>
      </c>
      <c r="C46" s="4" t="n"/>
      <c r="D46" s="7" t="n"/>
      <c r="E46" s="15" t="inlineStr">
        <is>
          <t>NA</t>
        </is>
      </c>
      <c r="F46" s="15" t="inlineStr">
        <is>
          <t>NA</t>
        </is>
      </c>
      <c r="G46" s="4" t="n"/>
      <c r="H46" s="4" t="n"/>
      <c r="I46" s="4" t="n"/>
      <c r="J46" s="4" t="n"/>
      <c r="K46" s="9" t="n">
        <v>0</v>
      </c>
      <c r="L46" s="4" t="n"/>
      <c r="M46" s="4" t="n"/>
      <c r="N46" s="4" t="n"/>
      <c r="O46" s="4" t="n"/>
      <c r="P46" s="9" t="n">
        <v>0</v>
      </c>
      <c r="Q46" s="4" t="n"/>
      <c r="R46" s="4" t="n"/>
      <c r="S46" s="4" t="n"/>
      <c r="T46" s="4" t="n"/>
      <c r="U46" s="9" t="n">
        <v>0</v>
      </c>
      <c r="V46" s="4" t="n"/>
      <c r="W46" s="4" t="n"/>
      <c r="X46" s="4" t="n"/>
      <c r="Y46" s="4" t="n"/>
      <c r="Z46" s="9" t="n">
        <v>0</v>
      </c>
      <c r="AA46" s="10">
        <f>AVERAGE(K46,P46,U46,Z46)</f>
        <v/>
      </c>
      <c r="AB46" s="11">
        <f>COUNTIF(G46:Z46,"P")</f>
        <v/>
      </c>
      <c r="AC46" s="12">
        <f>COUNTIF(G46:Z46,"L")</f>
        <v/>
      </c>
      <c r="AD46" s="13">
        <f>COUNTIF(G46:Z46,"A")</f>
        <v/>
      </c>
      <c r="AE46" s="14">
        <f>AB46+AC46</f>
        <v/>
      </c>
      <c r="AF46" s="8">
        <f>AE46/16*10</f>
        <v/>
      </c>
      <c r="AG46" s="8">
        <f>AA46</f>
        <v/>
      </c>
      <c r="AH46" s="8">
        <f>AF46+AG46</f>
        <v/>
      </c>
      <c r="AI46" s="5" t="n"/>
    </row>
    <row r="47">
      <c r="A47" s="50" t="n"/>
      <c r="B47" s="4" t="n">
        <v>39</v>
      </c>
      <c r="C47" s="4" t="n"/>
      <c r="D47" s="7" t="n"/>
      <c r="E47" s="15" t="inlineStr">
        <is>
          <t>NA</t>
        </is>
      </c>
      <c r="F47" s="15" t="inlineStr">
        <is>
          <t>NA</t>
        </is>
      </c>
      <c r="G47" s="4" t="n"/>
      <c r="H47" s="4" t="n"/>
      <c r="I47" s="4" t="n"/>
      <c r="J47" s="4" t="n"/>
      <c r="K47" s="9" t="n">
        <v>0</v>
      </c>
      <c r="L47" s="4" t="n"/>
      <c r="M47" s="4" t="n"/>
      <c r="N47" s="4" t="n"/>
      <c r="O47" s="4" t="n"/>
      <c r="P47" s="9" t="n">
        <v>0</v>
      </c>
      <c r="Q47" s="4" t="n"/>
      <c r="R47" s="4" t="n"/>
      <c r="S47" s="4" t="n"/>
      <c r="T47" s="4" t="n"/>
      <c r="U47" s="9" t="n">
        <v>0</v>
      </c>
      <c r="V47" s="4" t="n"/>
      <c r="W47" s="4" t="n"/>
      <c r="X47" s="4" t="n"/>
      <c r="Y47" s="4" t="n"/>
      <c r="Z47" s="9" t="n">
        <v>0</v>
      </c>
      <c r="AA47" s="10">
        <f>AVERAGE(K47,P47,U47,Z47)</f>
        <v/>
      </c>
      <c r="AB47" s="11">
        <f>COUNTIF(G47:Z47,"P")</f>
        <v/>
      </c>
      <c r="AC47" s="12">
        <f>COUNTIF(G47:Z47,"L")</f>
        <v/>
      </c>
      <c r="AD47" s="13">
        <f>COUNTIF(G47:Z47,"A")</f>
        <v/>
      </c>
      <c r="AE47" s="14">
        <f>AB47+AC47</f>
        <v/>
      </c>
      <c r="AF47" s="8">
        <f>AE47/16*10</f>
        <v/>
      </c>
      <c r="AG47" s="8">
        <f>AA47</f>
        <v/>
      </c>
      <c r="AH47" s="8">
        <f>AF47+AG47</f>
        <v/>
      </c>
      <c r="AI47" s="5" t="n"/>
    </row>
    <row r="48">
      <c r="A48" s="50" t="n"/>
      <c r="B48" s="4" t="n">
        <v>40</v>
      </c>
      <c r="C48" s="4" t="n"/>
      <c r="D48" s="7" t="n"/>
      <c r="E48" s="15" t="inlineStr">
        <is>
          <t>NA</t>
        </is>
      </c>
      <c r="F48" s="15" t="inlineStr">
        <is>
          <t>NA</t>
        </is>
      </c>
      <c r="G48" s="4" t="n"/>
      <c r="H48" s="4" t="n"/>
      <c r="I48" s="4" t="n"/>
      <c r="J48" s="4" t="n"/>
      <c r="K48" s="9" t="n">
        <v>0</v>
      </c>
      <c r="L48" s="4" t="n"/>
      <c r="M48" s="4" t="n"/>
      <c r="N48" s="4" t="n"/>
      <c r="O48" s="4" t="n"/>
      <c r="P48" s="9" t="n">
        <v>0</v>
      </c>
      <c r="Q48" s="4" t="n"/>
      <c r="R48" s="4" t="n"/>
      <c r="S48" s="4" t="n"/>
      <c r="T48" s="4" t="n"/>
      <c r="U48" s="9" t="n">
        <v>0</v>
      </c>
      <c r="V48" s="4" t="n"/>
      <c r="W48" s="4" t="n"/>
      <c r="X48" s="4" t="n"/>
      <c r="Y48" s="4" t="n"/>
      <c r="Z48" s="9" t="n">
        <v>0</v>
      </c>
      <c r="AA48" s="10">
        <f>AVERAGE(K48,P48,U48,Z48)</f>
        <v/>
      </c>
      <c r="AB48" s="11">
        <f>COUNTIF(G48:Z48,"P")</f>
        <v/>
      </c>
      <c r="AC48" s="12">
        <f>COUNTIF(G48:Z48,"L")</f>
        <v/>
      </c>
      <c r="AD48" s="13">
        <f>COUNTIF(G48:Z48,"A")</f>
        <v/>
      </c>
      <c r="AE48" s="14">
        <f>AB48+AC48</f>
        <v/>
      </c>
      <c r="AF48" s="8">
        <f>AE48/16*10</f>
        <v/>
      </c>
      <c r="AG48" s="8">
        <f>AA48</f>
        <v/>
      </c>
      <c r="AH48" s="8">
        <f>AF48+AG48</f>
        <v/>
      </c>
      <c r="AI48" s="5" t="n"/>
    </row>
    <row r="49">
      <c r="A49" s="50" t="n"/>
      <c r="B49" s="4" t="n">
        <v>41</v>
      </c>
      <c r="C49" s="4" t="n"/>
      <c r="D49" s="7" t="n"/>
      <c r="E49" s="15" t="inlineStr">
        <is>
          <t>NA</t>
        </is>
      </c>
      <c r="F49" s="15" t="inlineStr">
        <is>
          <t>NA</t>
        </is>
      </c>
      <c r="G49" s="4" t="n"/>
      <c r="H49" s="4" t="n"/>
      <c r="I49" s="4" t="n"/>
      <c r="J49" s="4" t="n"/>
      <c r="K49" s="9" t="n">
        <v>0</v>
      </c>
      <c r="L49" s="4" t="n"/>
      <c r="M49" s="4" t="n"/>
      <c r="N49" s="4" t="n"/>
      <c r="O49" s="4" t="n"/>
      <c r="P49" s="9" t="n">
        <v>0</v>
      </c>
      <c r="Q49" s="4" t="n"/>
      <c r="R49" s="4" t="n"/>
      <c r="S49" s="4" t="n"/>
      <c r="T49" s="4" t="n"/>
      <c r="U49" s="9" t="n">
        <v>0</v>
      </c>
      <c r="V49" s="4" t="n"/>
      <c r="W49" s="4" t="n"/>
      <c r="X49" s="4" t="n"/>
      <c r="Y49" s="4" t="n"/>
      <c r="Z49" s="9" t="n">
        <v>0</v>
      </c>
      <c r="AA49" s="10">
        <f>AVERAGE(K49,P49,U49,Z49)</f>
        <v/>
      </c>
      <c r="AB49" s="11">
        <f>COUNTIF(G49:Z49,"P")</f>
        <v/>
      </c>
      <c r="AC49" s="12">
        <f>COUNTIF(G49:Z49,"L")</f>
        <v/>
      </c>
      <c r="AD49" s="13">
        <f>COUNTIF(G49:Z49,"A")</f>
        <v/>
      </c>
      <c r="AE49" s="14">
        <f>AB49+AC49</f>
        <v/>
      </c>
      <c r="AF49" s="8">
        <f>AE49/16*10</f>
        <v/>
      </c>
      <c r="AG49" s="8">
        <f>AA49</f>
        <v/>
      </c>
      <c r="AH49" s="8">
        <f>AF49+AG49</f>
        <v/>
      </c>
      <c r="AI49" s="5" t="n"/>
    </row>
    <row r="50">
      <c r="A50" s="50" t="n"/>
      <c r="B50" s="4" t="n">
        <v>42</v>
      </c>
      <c r="C50" s="4" t="n"/>
      <c r="D50" s="7" t="n"/>
      <c r="E50" s="15" t="inlineStr">
        <is>
          <t>NA</t>
        </is>
      </c>
      <c r="F50" s="15" t="inlineStr">
        <is>
          <t>NA</t>
        </is>
      </c>
      <c r="G50" s="4" t="n"/>
      <c r="H50" s="4" t="n"/>
      <c r="I50" s="4" t="n"/>
      <c r="J50" s="4" t="n"/>
      <c r="K50" s="9" t="n">
        <v>0</v>
      </c>
      <c r="L50" s="4" t="n"/>
      <c r="M50" s="4" t="n"/>
      <c r="N50" s="4" t="n"/>
      <c r="O50" s="4" t="n"/>
      <c r="P50" s="9" t="n">
        <v>0</v>
      </c>
      <c r="Q50" s="4" t="n"/>
      <c r="R50" s="4" t="n"/>
      <c r="S50" s="4" t="n"/>
      <c r="T50" s="4" t="n"/>
      <c r="U50" s="9" t="n">
        <v>0</v>
      </c>
      <c r="V50" s="4" t="n"/>
      <c r="W50" s="4" t="n"/>
      <c r="X50" s="4" t="n"/>
      <c r="Y50" s="4" t="n"/>
      <c r="Z50" s="9" t="n">
        <v>0</v>
      </c>
      <c r="AA50" s="10">
        <f>AVERAGE(K50,P50,U50,Z50)</f>
        <v/>
      </c>
      <c r="AB50" s="11">
        <f>COUNTIF(G50:Z50,"P")</f>
        <v/>
      </c>
      <c r="AC50" s="12">
        <f>COUNTIF(G50:Z50,"L")</f>
        <v/>
      </c>
      <c r="AD50" s="13">
        <f>COUNTIF(G50:Z50,"A")</f>
        <v/>
      </c>
      <c r="AE50" s="14">
        <f>AB50+AC50</f>
        <v/>
      </c>
      <c r="AF50" s="8">
        <f>AE50/16*10</f>
        <v/>
      </c>
      <c r="AG50" s="8">
        <f>AA50</f>
        <v/>
      </c>
      <c r="AH50" s="8">
        <f>AF50+AG50</f>
        <v/>
      </c>
      <c r="AI50" s="5" t="n"/>
    </row>
    <row r="51">
      <c r="A51" s="50" t="n"/>
      <c r="B51" s="4" t="n">
        <v>43</v>
      </c>
      <c r="C51" s="4" t="n"/>
      <c r="D51" s="7" t="n"/>
      <c r="E51" s="15" t="inlineStr">
        <is>
          <t>NA</t>
        </is>
      </c>
      <c r="F51" s="15" t="inlineStr">
        <is>
          <t>NA</t>
        </is>
      </c>
      <c r="G51" s="4" t="n"/>
      <c r="H51" s="4" t="n"/>
      <c r="I51" s="4" t="n"/>
      <c r="J51" s="4" t="n"/>
      <c r="K51" s="9" t="n">
        <v>0</v>
      </c>
      <c r="L51" s="4" t="n"/>
      <c r="M51" s="4" t="n"/>
      <c r="N51" s="4" t="n"/>
      <c r="O51" s="4" t="n"/>
      <c r="P51" s="9" t="n">
        <v>0</v>
      </c>
      <c r="Q51" s="4" t="n"/>
      <c r="R51" s="4" t="n"/>
      <c r="S51" s="4" t="n"/>
      <c r="T51" s="4" t="n"/>
      <c r="U51" s="9" t="n">
        <v>0</v>
      </c>
      <c r="V51" s="4" t="n"/>
      <c r="W51" s="4" t="n"/>
      <c r="X51" s="4" t="n"/>
      <c r="Y51" s="4" t="n"/>
      <c r="Z51" s="9" t="n">
        <v>0</v>
      </c>
      <c r="AA51" s="10">
        <f>AVERAGE(K51,P51,U51,Z51)</f>
        <v/>
      </c>
      <c r="AB51" s="11">
        <f>COUNTIF(G51:Z51,"P")</f>
        <v/>
      </c>
      <c r="AC51" s="12">
        <f>COUNTIF(G51:Z51,"L")</f>
        <v/>
      </c>
      <c r="AD51" s="13">
        <f>COUNTIF(G51:Z51,"A")</f>
        <v/>
      </c>
      <c r="AE51" s="14">
        <f>AB51+AC51</f>
        <v/>
      </c>
      <c r="AF51" s="8">
        <f>AE51/16*10</f>
        <v/>
      </c>
      <c r="AG51" s="8">
        <f>AA51</f>
        <v/>
      </c>
      <c r="AH51" s="8">
        <f>AF51+AG51</f>
        <v/>
      </c>
      <c r="AI51" s="5" t="n"/>
    </row>
    <row r="52">
      <c r="A52" s="50" t="n"/>
      <c r="B52" s="4" t="n">
        <v>44</v>
      </c>
      <c r="C52" s="4" t="n"/>
      <c r="D52" s="7" t="n"/>
      <c r="E52" s="15" t="inlineStr">
        <is>
          <t>NA</t>
        </is>
      </c>
      <c r="F52" s="15" t="inlineStr">
        <is>
          <t>NA</t>
        </is>
      </c>
      <c r="G52" s="4" t="n"/>
      <c r="H52" s="4" t="n"/>
      <c r="I52" s="4" t="n"/>
      <c r="J52" s="4" t="n"/>
      <c r="K52" s="9" t="n">
        <v>0</v>
      </c>
      <c r="L52" s="4" t="n"/>
      <c r="M52" s="4" t="n"/>
      <c r="N52" s="4" t="n"/>
      <c r="O52" s="4" t="n"/>
      <c r="P52" s="9" t="n">
        <v>0</v>
      </c>
      <c r="Q52" s="4" t="n"/>
      <c r="R52" s="4" t="n"/>
      <c r="S52" s="4" t="n"/>
      <c r="T52" s="4" t="n"/>
      <c r="U52" s="9" t="n">
        <v>0</v>
      </c>
      <c r="V52" s="4" t="n"/>
      <c r="W52" s="4" t="n"/>
      <c r="X52" s="4" t="n"/>
      <c r="Y52" s="4" t="n"/>
      <c r="Z52" s="9" t="n">
        <v>0</v>
      </c>
      <c r="AA52" s="10">
        <f>AVERAGE(K52,P52,U52,Z52)</f>
        <v/>
      </c>
      <c r="AB52" s="11">
        <f>COUNTIF(G52:Z52,"P")</f>
        <v/>
      </c>
      <c r="AC52" s="12">
        <f>COUNTIF(G52:Z52,"L")</f>
        <v/>
      </c>
      <c r="AD52" s="13">
        <f>COUNTIF(G52:Z52,"A")</f>
        <v/>
      </c>
      <c r="AE52" s="14">
        <f>AB52+AC52</f>
        <v/>
      </c>
      <c r="AF52" s="8">
        <f>AE52/16*10</f>
        <v/>
      </c>
      <c r="AG52" s="8">
        <f>AA52</f>
        <v/>
      </c>
      <c r="AH52" s="8">
        <f>AF52+AG52</f>
        <v/>
      </c>
      <c r="AI52" s="5" t="n"/>
    </row>
    <row r="53">
      <c r="A53" s="50" t="n"/>
      <c r="B53" s="4" t="n">
        <v>45</v>
      </c>
      <c r="C53" s="4" t="n"/>
      <c r="D53" s="7" t="n"/>
      <c r="E53" s="15" t="inlineStr">
        <is>
          <t>NA</t>
        </is>
      </c>
      <c r="F53" s="15" t="inlineStr">
        <is>
          <t>NA</t>
        </is>
      </c>
      <c r="G53" s="4" t="n"/>
      <c r="H53" s="4" t="n"/>
      <c r="I53" s="4" t="n"/>
      <c r="J53" s="4" t="n"/>
      <c r="K53" s="9" t="n">
        <v>0</v>
      </c>
      <c r="L53" s="4" t="n"/>
      <c r="M53" s="4" t="n"/>
      <c r="N53" s="4" t="n"/>
      <c r="O53" s="4" t="n"/>
      <c r="P53" s="9" t="n">
        <v>0</v>
      </c>
      <c r="Q53" s="4" t="n"/>
      <c r="R53" s="4" t="n"/>
      <c r="S53" s="4" t="n"/>
      <c r="T53" s="4" t="n"/>
      <c r="U53" s="9" t="n">
        <v>0</v>
      </c>
      <c r="V53" s="4" t="n"/>
      <c r="W53" s="4" t="n"/>
      <c r="X53" s="4" t="n"/>
      <c r="Y53" s="4" t="n"/>
      <c r="Z53" s="9" t="n">
        <v>0</v>
      </c>
      <c r="AA53" s="10">
        <f>AVERAGE(K53,P53,U53,Z53)</f>
        <v/>
      </c>
      <c r="AB53" s="11">
        <f>COUNTIF(G53:Z53,"P")</f>
        <v/>
      </c>
      <c r="AC53" s="12">
        <f>COUNTIF(G53:Z53,"L")</f>
        <v/>
      </c>
      <c r="AD53" s="13">
        <f>COUNTIF(G53:Z53,"A")</f>
        <v/>
      </c>
      <c r="AE53" s="14">
        <f>AB53+AC53</f>
        <v/>
      </c>
      <c r="AF53" s="8">
        <f>AE53/16*10</f>
        <v/>
      </c>
      <c r="AG53" s="8">
        <f>AA53</f>
        <v/>
      </c>
      <c r="AH53" s="8">
        <f>AF53+AG53</f>
        <v/>
      </c>
      <c r="AI53" s="5" t="n"/>
    </row>
    <row r="54">
      <c r="A54" s="50" t="n"/>
      <c r="B54" s="4" t="n">
        <v>46</v>
      </c>
      <c r="C54" s="4" t="n"/>
      <c r="D54" s="7" t="n"/>
      <c r="E54" s="15" t="inlineStr">
        <is>
          <t>NA</t>
        </is>
      </c>
      <c r="F54" s="15" t="inlineStr">
        <is>
          <t>NA</t>
        </is>
      </c>
      <c r="G54" s="4" t="n"/>
      <c r="H54" s="4" t="n"/>
      <c r="I54" s="4" t="n"/>
      <c r="J54" s="4" t="n"/>
      <c r="K54" s="9" t="n">
        <v>0</v>
      </c>
      <c r="L54" s="4" t="n"/>
      <c r="M54" s="4" t="n"/>
      <c r="N54" s="4" t="n"/>
      <c r="O54" s="4" t="n"/>
      <c r="P54" s="9" t="n">
        <v>0</v>
      </c>
      <c r="Q54" s="4" t="n"/>
      <c r="R54" s="4" t="n"/>
      <c r="S54" s="4" t="n"/>
      <c r="T54" s="4" t="n"/>
      <c r="U54" s="9" t="n">
        <v>0</v>
      </c>
      <c r="V54" s="4" t="n"/>
      <c r="W54" s="4" t="n"/>
      <c r="X54" s="4" t="n"/>
      <c r="Y54" s="4" t="n"/>
      <c r="Z54" s="9" t="n">
        <v>0</v>
      </c>
      <c r="AA54" s="10">
        <f>AVERAGE(K54,P54,U54,Z54)</f>
        <v/>
      </c>
      <c r="AB54" s="11">
        <f>COUNTIF(G54:Z54,"P")</f>
        <v/>
      </c>
      <c r="AC54" s="12">
        <f>COUNTIF(G54:Z54,"L")</f>
        <v/>
      </c>
      <c r="AD54" s="13">
        <f>COUNTIF(G54:Z54,"A")</f>
        <v/>
      </c>
      <c r="AE54" s="14">
        <f>AB54+AC54</f>
        <v/>
      </c>
      <c r="AF54" s="8">
        <f>AE54/16*10</f>
        <v/>
      </c>
      <c r="AG54" s="8">
        <f>AA54</f>
        <v/>
      </c>
      <c r="AH54" s="8">
        <f>AF54+AG54</f>
        <v/>
      </c>
      <c r="AI54" s="5" t="n"/>
    </row>
    <row r="55">
      <c r="A55" s="50" t="n"/>
      <c r="B55" s="4" t="n">
        <v>47</v>
      </c>
      <c r="C55" s="4" t="n"/>
      <c r="D55" s="7" t="n"/>
      <c r="E55" s="15" t="inlineStr">
        <is>
          <t>NA</t>
        </is>
      </c>
      <c r="F55" s="15" t="inlineStr">
        <is>
          <t>NA</t>
        </is>
      </c>
      <c r="G55" s="4" t="n"/>
      <c r="H55" s="4" t="n"/>
      <c r="I55" s="4" t="n"/>
      <c r="J55" s="4" t="n"/>
      <c r="K55" s="9" t="n">
        <v>0</v>
      </c>
      <c r="L55" s="4" t="n"/>
      <c r="M55" s="4" t="n"/>
      <c r="N55" s="4" t="n"/>
      <c r="O55" s="4" t="n"/>
      <c r="P55" s="9" t="n">
        <v>0</v>
      </c>
      <c r="Q55" s="4" t="n"/>
      <c r="R55" s="4" t="n"/>
      <c r="S55" s="4" t="n"/>
      <c r="T55" s="4" t="n"/>
      <c r="U55" s="9" t="n">
        <v>0</v>
      </c>
      <c r="V55" s="4" t="n"/>
      <c r="W55" s="4" t="n"/>
      <c r="X55" s="4" t="n"/>
      <c r="Y55" s="4" t="n"/>
      <c r="Z55" s="9" t="n">
        <v>0</v>
      </c>
      <c r="AA55" s="10">
        <f>AVERAGE(K55,P55,U55,Z55)</f>
        <v/>
      </c>
      <c r="AB55" s="11">
        <f>COUNTIF(G55:Z55,"P")</f>
        <v/>
      </c>
      <c r="AC55" s="12">
        <f>COUNTIF(G55:Z55,"L")</f>
        <v/>
      </c>
      <c r="AD55" s="13">
        <f>COUNTIF(G55:Z55,"A")</f>
        <v/>
      </c>
      <c r="AE55" s="14">
        <f>AB55+AC55</f>
        <v/>
      </c>
      <c r="AF55" s="8">
        <f>AE55/16*10</f>
        <v/>
      </c>
      <c r="AG55" s="8">
        <f>AA55</f>
        <v/>
      </c>
      <c r="AH55" s="8">
        <f>AF55+AG55</f>
        <v/>
      </c>
      <c r="AI55" s="5" t="n"/>
    </row>
    <row r="56">
      <c r="A56" s="50" t="n"/>
      <c r="B56" s="4" t="n">
        <v>48</v>
      </c>
      <c r="C56" s="4" t="n"/>
      <c r="D56" s="7" t="n"/>
      <c r="E56" s="15" t="inlineStr">
        <is>
          <t>NA</t>
        </is>
      </c>
      <c r="F56" s="15" t="inlineStr">
        <is>
          <t>NA</t>
        </is>
      </c>
      <c r="G56" s="4" t="n"/>
      <c r="H56" s="4" t="n"/>
      <c r="I56" s="4" t="n"/>
      <c r="J56" s="4" t="n"/>
      <c r="K56" s="9" t="n">
        <v>0</v>
      </c>
      <c r="L56" s="4" t="n"/>
      <c r="M56" s="4" t="n"/>
      <c r="N56" s="4" t="n"/>
      <c r="O56" s="4" t="n"/>
      <c r="P56" s="9" t="n">
        <v>0</v>
      </c>
      <c r="Q56" s="4" t="n"/>
      <c r="R56" s="4" t="n"/>
      <c r="S56" s="4" t="n"/>
      <c r="T56" s="4" t="n"/>
      <c r="U56" s="9" t="n">
        <v>0</v>
      </c>
      <c r="V56" s="4" t="n"/>
      <c r="W56" s="4" t="n"/>
      <c r="X56" s="4" t="n"/>
      <c r="Y56" s="4" t="n"/>
      <c r="Z56" s="9" t="n">
        <v>0</v>
      </c>
      <c r="AA56" s="10">
        <f>AVERAGE(K56,P56,U56,Z56)</f>
        <v/>
      </c>
      <c r="AB56" s="11">
        <f>COUNTIF(G56:Z56,"P")</f>
        <v/>
      </c>
      <c r="AC56" s="12">
        <f>COUNTIF(G56:Z56,"L")</f>
        <v/>
      </c>
      <c r="AD56" s="13">
        <f>COUNTIF(G56:Z56,"A")</f>
        <v/>
      </c>
      <c r="AE56" s="14">
        <f>AB56+AC56</f>
        <v/>
      </c>
      <c r="AF56" s="8">
        <f>AE56/16*10</f>
        <v/>
      </c>
      <c r="AG56" s="8">
        <f>AA56</f>
        <v/>
      </c>
      <c r="AH56" s="8">
        <f>AF56+AG56</f>
        <v/>
      </c>
      <c r="AI56" s="5" t="n"/>
    </row>
    <row r="57">
      <c r="A57" s="50" t="n"/>
      <c r="B57" s="4" t="n">
        <v>49</v>
      </c>
      <c r="C57" s="4" t="n"/>
      <c r="D57" s="7" t="n"/>
      <c r="E57" s="15" t="inlineStr">
        <is>
          <t>NA</t>
        </is>
      </c>
      <c r="F57" s="15" t="inlineStr">
        <is>
          <t>NA</t>
        </is>
      </c>
      <c r="G57" s="4" t="n"/>
      <c r="H57" s="4" t="n"/>
      <c r="I57" s="4" t="n"/>
      <c r="J57" s="4" t="n"/>
      <c r="K57" s="9" t="n">
        <v>0</v>
      </c>
      <c r="L57" s="4" t="n"/>
      <c r="M57" s="4" t="n"/>
      <c r="N57" s="4" t="n"/>
      <c r="O57" s="4" t="n"/>
      <c r="P57" s="9" t="n">
        <v>0</v>
      </c>
      <c r="Q57" s="4" t="n"/>
      <c r="R57" s="4" t="n"/>
      <c r="S57" s="4" t="n"/>
      <c r="T57" s="4" t="n"/>
      <c r="U57" s="9" t="n">
        <v>0</v>
      </c>
      <c r="V57" s="4" t="n"/>
      <c r="W57" s="4" t="n"/>
      <c r="X57" s="4" t="n"/>
      <c r="Y57" s="4" t="n"/>
      <c r="Z57" s="9" t="n">
        <v>0</v>
      </c>
      <c r="AA57" s="10">
        <f>AVERAGE(K57,P57,U57,Z57)</f>
        <v/>
      </c>
      <c r="AB57" s="11">
        <f>COUNTIF(G57:Z57,"P")</f>
        <v/>
      </c>
      <c r="AC57" s="12">
        <f>COUNTIF(G57:Z57,"L")</f>
        <v/>
      </c>
      <c r="AD57" s="13">
        <f>COUNTIF(G57:Z57,"A")</f>
        <v/>
      </c>
      <c r="AE57" s="14">
        <f>AB57+AC57</f>
        <v/>
      </c>
      <c r="AF57" s="8">
        <f>AE57/16*10</f>
        <v/>
      </c>
      <c r="AG57" s="8">
        <f>AA57</f>
        <v/>
      </c>
      <c r="AH57" s="8">
        <f>AF57+AG57</f>
        <v/>
      </c>
      <c r="AI57" s="5" t="n"/>
    </row>
    <row r="58">
      <c r="A58" s="50" t="n"/>
      <c r="B58" s="4" t="n">
        <v>50</v>
      </c>
      <c r="C58" s="4" t="n"/>
      <c r="D58" s="7" t="n"/>
      <c r="E58" s="15" t="inlineStr">
        <is>
          <t>NA</t>
        </is>
      </c>
      <c r="F58" s="15" t="inlineStr">
        <is>
          <t>NA</t>
        </is>
      </c>
      <c r="G58" s="4" t="n"/>
      <c r="H58" s="4" t="n"/>
      <c r="I58" s="4" t="n"/>
      <c r="J58" s="4" t="n"/>
      <c r="K58" s="9" t="n">
        <v>0</v>
      </c>
      <c r="L58" s="4" t="n"/>
      <c r="M58" s="4" t="n"/>
      <c r="N58" s="4" t="n"/>
      <c r="O58" s="4" t="n"/>
      <c r="P58" s="9" t="n">
        <v>0</v>
      </c>
      <c r="Q58" s="4" t="n"/>
      <c r="R58" s="4" t="n"/>
      <c r="S58" s="4" t="n"/>
      <c r="T58" s="4" t="n"/>
      <c r="U58" s="9" t="n">
        <v>0</v>
      </c>
      <c r="V58" s="4" t="n"/>
      <c r="W58" s="4" t="n"/>
      <c r="X58" s="4" t="n"/>
      <c r="Y58" s="4" t="n"/>
      <c r="Z58" s="9" t="n">
        <v>0</v>
      </c>
      <c r="AA58" s="10">
        <f>AVERAGE(K58,P58,U58,Z58)</f>
        <v/>
      </c>
      <c r="AB58" s="11">
        <f>COUNTIF(G58:Z58,"P")</f>
        <v/>
      </c>
      <c r="AC58" s="12">
        <f>COUNTIF(G58:Z58,"L")</f>
        <v/>
      </c>
      <c r="AD58" s="13">
        <f>COUNTIF(G58:Z58,"A")</f>
        <v/>
      </c>
      <c r="AE58" s="14">
        <f>AB58+AC58</f>
        <v/>
      </c>
      <c r="AF58" s="8">
        <f>AE58/16*10</f>
        <v/>
      </c>
      <c r="AG58" s="8">
        <f>AA58</f>
        <v/>
      </c>
      <c r="AH58" s="8">
        <f>AF58+AG58</f>
        <v/>
      </c>
      <c r="AI58" s="5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  <c r="AH59" s="50" t="n"/>
      <c r="AI59" s="50" t="n"/>
    </row>
  </sheetData>
  <mergeCells count="23">
    <mergeCell ref="Q7:R7"/>
    <mergeCell ref="L7:M7"/>
    <mergeCell ref="N7:O7"/>
    <mergeCell ref="A3:C3"/>
    <mergeCell ref="V8:W8"/>
    <mergeCell ref="G8:H8"/>
    <mergeCell ref="X8:Y8"/>
    <mergeCell ref="E8:F8"/>
    <mergeCell ref="A2:C2"/>
    <mergeCell ref="Q8:R8"/>
    <mergeCell ref="S8:T8"/>
    <mergeCell ref="X7:Y7"/>
    <mergeCell ref="A5:C5"/>
    <mergeCell ref="G7:H7"/>
    <mergeCell ref="S7:T7"/>
    <mergeCell ref="I7:J7"/>
    <mergeCell ref="A4:C4"/>
    <mergeCell ref="L8:M8"/>
    <mergeCell ref="N8:O8"/>
    <mergeCell ref="I8:J8"/>
    <mergeCell ref="V7:W7"/>
    <mergeCell ref="E7:F7"/>
    <mergeCell ref="A6:C6"/>
  </mergeCells>
  <conditionalFormatting sqref="G9:Z58">
    <cfRule type="cellIs" priority="1" operator="equal" dxfId="2">
      <formula>"a"</formula>
    </cfRule>
    <cfRule type="cellIs" priority="2" operator="equal" dxfId="1">
      <formula>"l"</formula>
    </cfRule>
    <cfRule type="cellIs" priority="3" operator="equal" dxfId="0">
      <formula>"p"</formula>
    </cfRule>
  </conditionalFormatting>
  <dataValidations count="8">
    <dataValidation sqref="K9:K58 P9:P58 U9:U58 Z9:Z58" showDropDown="0" showInputMessage="1" showErrorMessage="1" allowBlank="1" errorTitle="Must be from 0 to 10" error="Must be from 0 to 10" promptTitle="Efforts (10 marks)" prompt="Must be from 0 to 10" type="whole">
      <formula1>0</formula1>
      <formula2>10</formula2>
    </dataValidation>
    <dataValidation sqref="D6" showDropDown="0" showInputMessage="1" showErrorMessage="1" allowBlank="1" promptTitle="Council" prompt="Enter your council here."/>
    <dataValidation sqref="D5" showDropDown="0" showInputMessage="1" showErrorMessage="1" allowBlank="1" promptTitle="Emirate/Area" prompt="Enter your emirate or area here."/>
    <dataValidation sqref="D4" showDropDown="0" showInputMessage="1" showErrorMessage="1" allowBlank="1" promptTitle="School Name" prompt="Enter your school name here."/>
    <dataValidation sqref="D3" showDropDown="0" showInputMessage="1" showErrorMessage="1" allowBlank="1" promptTitle="School ID" prompt="Enter your school ID here."/>
    <dataValidation sqref="D2" showDropDown="0" showInputMessage="1" showErrorMessage="1" allowBlank="1" promptTitle="Name" prompt="Enter your name here."/>
    <dataValidation sqref="D1" showDropDown="0" showInputMessage="1" showErrorMessage="1" allowBlank="1" promptTitle="Section" prompt="Enter your grade 4 section or class here. E.g. 4.1 or 4a"/>
    <dataValidation sqref="G9:J58 L9:O58 Q9:T58 V9:Y58" showDropDown="1" showInputMessage="1" showErrorMessage="1" allowBlank="1" errorTitle="Wrong Input" error="Please only input P, L or A_x000a_P=Present_x000a_A=Absent_x000a_L=Late" type="list">
      <formula1>"p,a,l,P,A,L"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K59"/>
  <sheetViews>
    <sheetView zoomScale="82" zoomScaleNormal="82" workbookViewId="0">
      <pane xSplit="4" ySplit="8" topLeftCell="E9" activePane="bottomRight" state="frozen"/>
      <selection pane="bottomRight" activeCell="N9" sqref="N9"/>
      <selection pane="bottomLeft" activeCell="A9" sqref="A9"/>
      <selection pane="topRight" activeCell="E1" sqref="E1"/>
    </sheetView>
  </sheetViews>
  <sheetFormatPr baseColWidth="8" defaultColWidth="9.140625" defaultRowHeight="15"/>
  <cols>
    <col width="3.7109375" customWidth="1" style="1" min="1" max="1"/>
    <col width="4.85546875" customWidth="1" style="2" min="2" max="2"/>
    <col width="9.42578125" customWidth="1" style="2" min="3" max="3"/>
    <col width="22" customWidth="1" style="1" min="4" max="5"/>
    <col width="16" bestFit="1" customWidth="1" style="1" min="6" max="6"/>
    <col width="22.42578125" customWidth="1" style="1" min="7" max="7"/>
    <col width="21" bestFit="1" customWidth="1" style="1" min="8" max="8"/>
    <col width="9.140625" customWidth="1" style="1" min="9" max="16384"/>
  </cols>
  <sheetData>
    <row r="1" ht="21.75" customHeight="1">
      <c r="A1" s="26" t="n"/>
      <c r="B1" s="53" t="n"/>
      <c r="C1" s="93" t="inlineStr">
        <is>
          <t>Section:</t>
        </is>
      </c>
      <c r="D1" s="55">
        <f>'G4- Attendance'!D1</f>
        <v/>
      </c>
      <c r="E1" s="58" t="inlineStr">
        <is>
          <t>Marks Recording Sheet</t>
        </is>
      </c>
      <c r="F1" s="32" t="n"/>
      <c r="G1" s="32" t="n"/>
      <c r="H1" s="26" t="n"/>
      <c r="I1" s="26" t="n"/>
    </row>
    <row r="2" ht="20.25" customHeight="1">
      <c r="A2" s="93" t="inlineStr">
        <is>
          <t>Teacher Name:</t>
        </is>
      </c>
      <c r="B2" s="94" t="n"/>
      <c r="C2" s="95" t="n"/>
      <c r="D2" s="55">
        <f>'G4- Attendance'!D2</f>
        <v/>
      </c>
      <c r="E2" s="35">
        <f>'G4- Attendance'!E2</f>
        <v/>
      </c>
      <c r="F2" s="26" t="n"/>
      <c r="G2" s="49" t="n"/>
      <c r="H2" s="26" t="n"/>
      <c r="I2" s="26" t="n"/>
    </row>
    <row r="3" ht="21" customHeight="1">
      <c r="A3" s="93" t="inlineStr">
        <is>
          <t>School ID:</t>
        </is>
      </c>
      <c r="B3" s="94" t="n"/>
      <c r="C3" s="95" t="n"/>
      <c r="D3" s="56">
        <f>'G4- Attendance'!D3</f>
        <v/>
      </c>
      <c r="E3" s="59">
        <f>'G4- Attendance'!E3</f>
        <v/>
      </c>
      <c r="F3" s="26" t="n"/>
      <c r="G3" s="26" t="n"/>
      <c r="H3" s="26" t="n"/>
      <c r="I3" s="26" t="n"/>
    </row>
    <row r="4" ht="23.25" customFormat="1" customHeight="1" s="23">
      <c r="A4" s="93" t="inlineStr">
        <is>
          <t>School Name:</t>
        </is>
      </c>
      <c r="B4" s="94" t="n"/>
      <c r="C4" s="95" t="n"/>
      <c r="D4" s="56">
        <f>'G4- Attendance'!D4</f>
        <v/>
      </c>
      <c r="E4" s="59">
        <f>'G4- Attendance'!E4</f>
        <v/>
      </c>
      <c r="F4" s="60" t="n"/>
      <c r="G4" s="60" t="n"/>
      <c r="H4" s="61" t="n"/>
      <c r="I4" s="61" t="n"/>
    </row>
    <row r="5" ht="18" customHeight="1">
      <c r="A5" s="93" t="inlineStr">
        <is>
          <t>Emirate/Area:</t>
        </is>
      </c>
      <c r="B5" s="94" t="n"/>
      <c r="C5" s="95" t="n"/>
      <c r="D5" s="56">
        <f>'G4- Attendance'!D5</f>
        <v/>
      </c>
      <c r="E5" s="62" t="n"/>
      <c r="F5" s="62" t="n"/>
      <c r="G5" s="62" t="n"/>
      <c r="H5" s="26" t="n"/>
      <c r="I5" s="26" t="n"/>
    </row>
    <row r="6" ht="41.25" customHeight="1">
      <c r="A6" s="93" t="inlineStr">
        <is>
          <t>Council:</t>
        </is>
      </c>
      <c r="B6" s="94" t="n"/>
      <c r="C6" s="95" t="n"/>
      <c r="D6" s="57">
        <f>'G4- Attendance'!D6</f>
        <v/>
      </c>
      <c r="E6" s="49" t="n"/>
      <c r="F6" s="63" t="n"/>
      <c r="G6" s="64" t="n"/>
      <c r="H6" s="64" t="n"/>
      <c r="I6" s="26" t="n"/>
    </row>
    <row r="7" ht="28.5" customHeight="1">
      <c r="A7" s="32" t="n"/>
      <c r="B7" s="27" t="n"/>
      <c r="C7" s="48" t="n"/>
      <c r="D7" s="49" t="n"/>
      <c r="E7" s="75" t="inlineStr">
        <is>
          <t>School-based Assessment (SB1)</t>
        </is>
      </c>
      <c r="F7" s="80" t="inlineStr">
        <is>
          <t>Attendance/
Effort</t>
        </is>
      </c>
      <c r="G7" s="76" t="inlineStr">
        <is>
          <t>School-based Total</t>
        </is>
      </c>
      <c r="H7" s="77" t="inlineStr">
        <is>
          <t>End of Term Total</t>
        </is>
      </c>
      <c r="I7" s="26" t="n"/>
      <c r="K7" s="3" t="n"/>
    </row>
    <row r="8" ht="15.75" customHeight="1">
      <c r="A8" s="26" t="n"/>
      <c r="B8" s="51" t="inlineStr">
        <is>
          <t>No</t>
        </is>
      </c>
      <c r="C8" s="51" t="inlineStr">
        <is>
          <t>Student #</t>
        </is>
      </c>
      <c r="D8" s="78" t="inlineStr">
        <is>
          <t>Student Name</t>
        </is>
      </c>
      <c r="E8" s="19" t="inlineStr">
        <is>
          <t>80 marks</t>
        </is>
      </c>
      <c r="F8" s="18" t="inlineStr">
        <is>
          <t>20 marks</t>
        </is>
      </c>
      <c r="G8" s="17" t="inlineStr">
        <is>
          <t>100 marks</t>
        </is>
      </c>
      <c r="H8" s="77" t="inlineStr">
        <is>
          <t>100 marks</t>
        </is>
      </c>
      <c r="I8" s="26" t="n"/>
    </row>
    <row r="9">
      <c r="A9" s="50" t="n"/>
      <c r="B9" s="22" t="n">
        <v>1</v>
      </c>
      <c r="C9" s="22">
        <f>'G4- Attendance'!C9</f>
        <v/>
      </c>
      <c r="D9" s="25">
        <f>'G4- Attendance'!D9</f>
        <v/>
      </c>
      <c r="E9" s="6" t="n">
        <v>80</v>
      </c>
      <c r="F9" s="8">
        <f>'G4- Attendance'!AH9</f>
        <v/>
      </c>
      <c r="G9" s="16">
        <f>E9+F9</f>
        <v/>
      </c>
      <c r="H9" s="79" t="n">
        <v>99</v>
      </c>
      <c r="I9" s="26" t="n"/>
    </row>
    <row r="10">
      <c r="A10" s="50" t="n"/>
      <c r="B10" s="22" t="n">
        <v>2</v>
      </c>
      <c r="C10" s="22">
        <f>'G4- Attendance'!C10</f>
        <v/>
      </c>
      <c r="D10" s="25">
        <f>'G4- Attendance'!D10</f>
        <v/>
      </c>
      <c r="E10" s="6" t="n">
        <v>75</v>
      </c>
      <c r="F10" s="8">
        <f>'G4- Attendance'!AH10</f>
        <v/>
      </c>
      <c r="G10" s="16">
        <f>E10+F10</f>
        <v/>
      </c>
      <c r="H10" s="79" t="n">
        <v>77</v>
      </c>
      <c r="I10" s="26" t="n"/>
    </row>
    <row r="11">
      <c r="A11" s="50" t="n"/>
      <c r="B11" s="22" t="n">
        <v>3</v>
      </c>
      <c r="C11" s="22">
        <f>'G4- Attendance'!C11</f>
        <v/>
      </c>
      <c r="D11" s="25">
        <f>'G4- Attendance'!D11</f>
        <v/>
      </c>
      <c r="E11" s="6" t="n">
        <v>40</v>
      </c>
      <c r="F11" s="8">
        <f>'G4- Attendance'!AH11</f>
        <v/>
      </c>
      <c r="G11" s="16">
        <f>E11+F11</f>
        <v/>
      </c>
      <c r="H11" s="79" t="n">
        <v>55</v>
      </c>
      <c r="I11" s="26" t="n"/>
    </row>
    <row r="12">
      <c r="A12" s="50" t="n"/>
      <c r="B12" s="22" t="n">
        <v>4</v>
      </c>
      <c r="C12" s="22">
        <f>'G4- Attendance'!C12</f>
        <v/>
      </c>
      <c r="D12" s="25">
        <f>'G4- Attendance'!D12</f>
        <v/>
      </c>
      <c r="E12" s="6" t="n"/>
      <c r="F12" s="8">
        <f>'G4- Attendance'!AH12</f>
        <v/>
      </c>
      <c r="G12" s="16">
        <f>E12+F12</f>
        <v/>
      </c>
      <c r="H12" s="79" t="n">
        <v>71</v>
      </c>
      <c r="I12" s="26" t="n"/>
    </row>
    <row r="13">
      <c r="A13" s="50" t="n"/>
      <c r="B13" s="22" t="n">
        <v>5</v>
      </c>
      <c r="C13" s="22">
        <f>'G4- Attendance'!C13</f>
        <v/>
      </c>
      <c r="D13" s="25">
        <f>'G4- Attendance'!D13</f>
        <v/>
      </c>
      <c r="E13" s="6" t="n"/>
      <c r="F13" s="8">
        <f>'G4- Attendance'!AH13</f>
        <v/>
      </c>
      <c r="G13" s="16">
        <f>E13+F13</f>
        <v/>
      </c>
      <c r="H13" s="79" t="n">
        <v>78</v>
      </c>
      <c r="I13" s="26" t="n"/>
    </row>
    <row r="14">
      <c r="A14" s="50" t="n"/>
      <c r="B14" s="22" t="n">
        <v>6</v>
      </c>
      <c r="C14" s="22">
        <f>'G4- Attendance'!C14</f>
        <v/>
      </c>
      <c r="D14" s="25">
        <f>'G4- Attendance'!D14</f>
        <v/>
      </c>
      <c r="E14" s="6" t="n"/>
      <c r="F14" s="8">
        <f>'G4- Attendance'!AH14</f>
        <v/>
      </c>
      <c r="G14" s="16">
        <f>E14+F14</f>
        <v/>
      </c>
      <c r="H14" s="79" t="n">
        <v>72</v>
      </c>
      <c r="I14" s="26" t="n"/>
    </row>
    <row r="15">
      <c r="A15" s="50" t="n"/>
      <c r="B15" s="22" t="n">
        <v>7</v>
      </c>
      <c r="C15" s="22">
        <f>'G4- Attendance'!C15</f>
        <v/>
      </c>
      <c r="D15" s="25">
        <f>'G4- Attendance'!D15</f>
        <v/>
      </c>
      <c r="E15" s="6" t="n"/>
      <c r="F15" s="8">
        <f>'G4- Attendance'!AH15</f>
        <v/>
      </c>
      <c r="G15" s="16">
        <f>E15+F15</f>
        <v/>
      </c>
      <c r="H15" s="79" t="n">
        <v>94</v>
      </c>
      <c r="I15" s="26" t="n"/>
    </row>
    <row r="16">
      <c r="A16" s="50" t="n"/>
      <c r="B16" s="22" t="n">
        <v>8</v>
      </c>
      <c r="C16" s="22">
        <f>'G4- Attendance'!C16</f>
        <v/>
      </c>
      <c r="D16" s="25">
        <f>'G4- Attendance'!D16</f>
        <v/>
      </c>
      <c r="E16" s="6" t="n"/>
      <c r="F16" s="8">
        <f>'G4- Attendance'!AH16</f>
        <v/>
      </c>
      <c r="G16" s="16">
        <f>E16+F16</f>
        <v/>
      </c>
      <c r="H16" s="79" t="n">
        <v>83</v>
      </c>
      <c r="I16" s="26" t="n"/>
    </row>
    <row r="17">
      <c r="A17" s="50" t="n"/>
      <c r="B17" s="22" t="n">
        <v>9</v>
      </c>
      <c r="C17" s="22">
        <f>'G4- Attendance'!C17</f>
        <v/>
      </c>
      <c r="D17" s="25">
        <f>'G4- Attendance'!D17</f>
        <v/>
      </c>
      <c r="E17" s="6" t="n"/>
      <c r="F17" s="8">
        <f>'G4- Attendance'!AH17</f>
        <v/>
      </c>
      <c r="G17" s="16">
        <f>E17+F17</f>
        <v/>
      </c>
      <c r="H17" s="79" t="n">
        <v>78</v>
      </c>
      <c r="I17" s="26" t="n"/>
    </row>
    <row r="18">
      <c r="A18" s="50" t="n"/>
      <c r="B18" s="22" t="n">
        <v>10</v>
      </c>
      <c r="C18" s="22">
        <f>'G4- Attendance'!C18</f>
        <v/>
      </c>
      <c r="D18" s="25">
        <f>'G4- Attendance'!D18</f>
        <v/>
      </c>
      <c r="E18" s="6" t="n"/>
      <c r="F18" s="8">
        <f>'G4- Attendance'!AH18</f>
        <v/>
      </c>
      <c r="G18" s="16">
        <f>E18+F18</f>
        <v/>
      </c>
      <c r="H18" s="79" t="n">
        <v>73</v>
      </c>
      <c r="I18" s="26" t="n"/>
    </row>
    <row r="19">
      <c r="A19" s="50" t="n"/>
      <c r="B19" s="22" t="n">
        <v>11</v>
      </c>
      <c r="C19" s="22">
        <f>'G4- Attendance'!C19</f>
        <v/>
      </c>
      <c r="D19" s="25">
        <f>'G4- Attendance'!D19</f>
        <v/>
      </c>
      <c r="E19" s="6" t="n"/>
      <c r="F19" s="8">
        <f>'G4- Attendance'!AH19</f>
        <v/>
      </c>
      <c r="G19" s="16">
        <f>E19+F19</f>
        <v/>
      </c>
      <c r="H19" s="79" t="n">
        <v>96</v>
      </c>
      <c r="I19" s="26" t="n"/>
    </row>
    <row r="20">
      <c r="A20" s="50" t="n"/>
      <c r="B20" s="22" t="n">
        <v>12</v>
      </c>
      <c r="C20" s="22">
        <f>'G4- Attendance'!C20</f>
        <v/>
      </c>
      <c r="D20" s="25">
        <f>'G4- Attendance'!D20</f>
        <v/>
      </c>
      <c r="E20" s="6" t="n"/>
      <c r="F20" s="8">
        <f>'G4- Attendance'!AH20</f>
        <v/>
      </c>
      <c r="G20" s="16">
        <f>E20+F20</f>
        <v/>
      </c>
      <c r="H20" s="79" t="n">
        <v>98</v>
      </c>
      <c r="I20" s="26" t="n"/>
    </row>
    <row r="21">
      <c r="A21" s="50" t="n"/>
      <c r="B21" s="22" t="n">
        <v>13</v>
      </c>
      <c r="C21" s="22">
        <f>'G4- Attendance'!C21</f>
        <v/>
      </c>
      <c r="D21" s="25">
        <f>'G4- Attendance'!D21</f>
        <v/>
      </c>
      <c r="E21" s="6" t="n"/>
      <c r="F21" s="8">
        <f>'G4- Attendance'!AH21</f>
        <v/>
      </c>
      <c r="G21" s="16">
        <f>E21+F21</f>
        <v/>
      </c>
      <c r="H21" s="79" t="n">
        <v>97</v>
      </c>
      <c r="I21" s="26" t="n"/>
    </row>
    <row r="22">
      <c r="A22" s="50" t="n"/>
      <c r="B22" s="22" t="n">
        <v>14</v>
      </c>
      <c r="C22" s="22">
        <f>'G4- Attendance'!C22</f>
        <v/>
      </c>
      <c r="D22" s="25">
        <f>'G4- Attendance'!D22</f>
        <v/>
      </c>
      <c r="E22" s="6" t="n"/>
      <c r="F22" s="8">
        <f>'G4- Attendance'!AH22</f>
        <v/>
      </c>
      <c r="G22" s="16">
        <f>E22+F22</f>
        <v/>
      </c>
      <c r="H22" s="79" t="n">
        <v>71</v>
      </c>
      <c r="I22" s="26" t="n"/>
    </row>
    <row r="23">
      <c r="A23" s="50" t="n"/>
      <c r="B23" s="22" t="n">
        <v>15</v>
      </c>
      <c r="C23" s="22">
        <f>'G4- Attendance'!C23</f>
        <v/>
      </c>
      <c r="D23" s="25" t="inlineStr">
        <is>
          <t>Mariam</t>
        </is>
      </c>
      <c r="E23" s="6" t="n">
        <v>20</v>
      </c>
      <c r="F23" s="8" t="n">
        <v>10</v>
      </c>
      <c r="G23" s="16">
        <f>E23+F23</f>
        <v/>
      </c>
      <c r="H23" s="79" t="n">
        <v>75</v>
      </c>
      <c r="I23" s="26" t="n"/>
    </row>
    <row r="24">
      <c r="A24" s="50" t="n"/>
      <c r="B24" s="22" t="n">
        <v>16</v>
      </c>
      <c r="C24" s="22">
        <f>'G4- Attendance'!C24</f>
        <v/>
      </c>
      <c r="D24" s="25">
        <f>'G4- Attendance'!D24</f>
        <v/>
      </c>
      <c r="E24" s="6" t="n"/>
      <c r="F24" s="8">
        <f>'G4- Attendance'!AH24</f>
        <v/>
      </c>
      <c r="G24" s="16">
        <f>E24+F24</f>
        <v/>
      </c>
      <c r="H24" s="79" t="n">
        <v>82</v>
      </c>
      <c r="I24" s="26" t="n"/>
    </row>
    <row r="25">
      <c r="A25" s="50" t="n"/>
      <c r="B25" s="22" t="n">
        <v>17</v>
      </c>
      <c r="C25" s="22">
        <f>'G4- Attendance'!C25</f>
        <v/>
      </c>
      <c r="D25" s="25">
        <f>'G4- Attendance'!D25</f>
        <v/>
      </c>
      <c r="E25" s="6" t="n"/>
      <c r="F25" s="8">
        <f>'G4- Attendance'!AH25</f>
        <v/>
      </c>
      <c r="G25" s="16">
        <f>E25+F25</f>
        <v/>
      </c>
      <c r="H25" s="79" t="n">
        <v>87</v>
      </c>
      <c r="I25" s="26" t="n"/>
    </row>
    <row r="26">
      <c r="A26" s="50" t="n"/>
      <c r="B26" s="22" t="n">
        <v>18</v>
      </c>
      <c r="C26" s="22">
        <f>'G4- Attendance'!C26</f>
        <v/>
      </c>
      <c r="D26" s="25">
        <f>'G4- Attendance'!D26</f>
        <v/>
      </c>
      <c r="E26" s="6" t="n"/>
      <c r="F26" s="8">
        <f>'G4- Attendance'!AH26</f>
        <v/>
      </c>
      <c r="G26" s="16">
        <f>E26+F26</f>
        <v/>
      </c>
      <c r="H26" s="79" t="n">
        <v>99</v>
      </c>
      <c r="I26" s="26" t="n"/>
    </row>
    <row r="27">
      <c r="A27" s="50" t="n"/>
      <c r="B27" s="22" t="n">
        <v>19</v>
      </c>
      <c r="C27" s="22">
        <f>'G4- Attendance'!C27</f>
        <v/>
      </c>
      <c r="D27" s="25">
        <f>'G4- Attendance'!D27</f>
        <v/>
      </c>
      <c r="E27" s="6" t="n">
        <v>40</v>
      </c>
      <c r="F27" s="8">
        <f>'G4- Attendance'!AH27</f>
        <v/>
      </c>
      <c r="G27" s="16">
        <f>E27+F27</f>
        <v/>
      </c>
      <c r="H27" s="79" t="n">
        <v>77</v>
      </c>
      <c r="I27" s="26" t="n"/>
    </row>
    <row r="28">
      <c r="A28" s="50" t="n"/>
      <c r="B28" s="22" t="n">
        <v>20</v>
      </c>
      <c r="C28" s="22">
        <f>'G4- Attendance'!C28</f>
        <v/>
      </c>
      <c r="D28" s="25">
        <f>'G4- Attendance'!D28</f>
        <v/>
      </c>
      <c r="E28" s="6" t="n"/>
      <c r="F28" s="8">
        <f>'G4- Attendance'!AH28</f>
        <v/>
      </c>
      <c r="G28" s="16">
        <f>E28+F28</f>
        <v/>
      </c>
      <c r="H28" s="79" t="n">
        <v>55</v>
      </c>
      <c r="I28" s="26" t="n"/>
    </row>
    <row r="29">
      <c r="A29" s="50" t="n"/>
      <c r="B29" s="22" t="n">
        <v>21</v>
      </c>
      <c r="C29" s="22">
        <f>'G4- Attendance'!C29</f>
        <v/>
      </c>
      <c r="D29" s="25">
        <f>'G4- Attendance'!D29</f>
        <v/>
      </c>
      <c r="E29" s="6" t="n"/>
      <c r="F29" s="8">
        <f>'G4- Attendance'!AH29</f>
        <v/>
      </c>
      <c r="G29" s="16">
        <f>E29+F29</f>
        <v/>
      </c>
      <c r="H29" s="79" t="n">
        <v>87</v>
      </c>
      <c r="I29" s="26" t="n"/>
    </row>
    <row r="30">
      <c r="A30" s="50" t="n"/>
      <c r="B30" s="22" t="n">
        <v>22</v>
      </c>
      <c r="C30" s="22">
        <f>'G4- Attendance'!C30</f>
        <v/>
      </c>
      <c r="D30" s="25">
        <f>'G4- Attendance'!D30</f>
        <v/>
      </c>
      <c r="E30" s="6" t="n"/>
      <c r="F30" s="8">
        <f>'G4- Attendance'!AH30</f>
        <v/>
      </c>
      <c r="G30" s="16">
        <f>E30+F30</f>
        <v/>
      </c>
      <c r="H30" s="79" t="n">
        <v>80</v>
      </c>
      <c r="I30" s="26" t="n"/>
    </row>
    <row r="31">
      <c r="A31" s="50" t="n"/>
      <c r="B31" s="22" t="n">
        <v>23</v>
      </c>
      <c r="C31" s="22">
        <f>'G4- Attendance'!C31</f>
        <v/>
      </c>
      <c r="D31" s="25">
        <f>'G4- Attendance'!D31</f>
        <v/>
      </c>
      <c r="E31" s="6" t="n"/>
      <c r="F31" s="8">
        <f>'G4- Attendance'!AH31</f>
        <v/>
      </c>
      <c r="G31" s="16">
        <f>E31+F31</f>
        <v/>
      </c>
      <c r="H31" s="79" t="n">
        <v>80</v>
      </c>
      <c r="I31" s="26" t="n"/>
    </row>
    <row r="32">
      <c r="A32" s="50" t="n"/>
      <c r="B32" s="22" t="n">
        <v>24</v>
      </c>
      <c r="C32" s="22">
        <f>'G4- Attendance'!C32</f>
        <v/>
      </c>
      <c r="D32" s="25">
        <f>'G4- Attendance'!D32</f>
        <v/>
      </c>
      <c r="E32" s="6" t="n"/>
      <c r="F32" s="8">
        <f>'G4- Attendance'!AH32</f>
        <v/>
      </c>
      <c r="G32" s="16">
        <f>E32+F32</f>
        <v/>
      </c>
      <c r="H32" s="79" t="n">
        <v>97</v>
      </c>
      <c r="I32" s="26" t="n"/>
    </row>
    <row r="33">
      <c r="A33" s="50" t="n"/>
      <c r="B33" s="22" t="n">
        <v>25</v>
      </c>
      <c r="C33" s="22">
        <f>'G4- Attendance'!C33</f>
        <v/>
      </c>
      <c r="D33" s="25">
        <f>'G4- Attendance'!D33</f>
        <v/>
      </c>
      <c r="E33" s="6" t="n"/>
      <c r="F33" s="8">
        <f>'G4- Attendance'!AH33</f>
        <v/>
      </c>
      <c r="G33" s="16">
        <f>E33+F33</f>
        <v/>
      </c>
      <c r="H33" s="79" t="n">
        <v>71</v>
      </c>
      <c r="I33" s="26" t="n"/>
    </row>
    <row r="34">
      <c r="A34" s="50" t="n"/>
      <c r="B34" s="22" t="n">
        <v>26</v>
      </c>
      <c r="C34" s="22">
        <f>'G4- Attendance'!C34</f>
        <v/>
      </c>
      <c r="D34" s="25">
        <f>'G4- Attendance'!D34</f>
        <v/>
      </c>
      <c r="E34" s="6" t="n"/>
      <c r="F34" s="8">
        <f>'G4- Attendance'!AH34</f>
        <v/>
      </c>
      <c r="G34" s="16">
        <f>E34+F34</f>
        <v/>
      </c>
      <c r="H34" s="79" t="n">
        <v>75</v>
      </c>
      <c r="I34" s="26" t="n"/>
    </row>
    <row r="35">
      <c r="A35" s="50" t="n"/>
      <c r="B35" s="22" t="n">
        <v>27</v>
      </c>
      <c r="C35" s="22">
        <f>'G4- Attendance'!C35</f>
        <v/>
      </c>
      <c r="D35" s="25">
        <f>'G4- Attendance'!D35</f>
        <v/>
      </c>
      <c r="E35" s="6" t="n"/>
      <c r="F35" s="8">
        <f>'G4- Attendance'!AH35</f>
        <v/>
      </c>
      <c r="G35" s="16">
        <f>E35+F35</f>
        <v/>
      </c>
      <c r="H35" s="79" t="n">
        <v>74</v>
      </c>
      <c r="I35" s="26" t="n"/>
    </row>
    <row r="36">
      <c r="A36" s="50" t="n"/>
      <c r="B36" s="22" t="n">
        <v>28</v>
      </c>
      <c r="C36" s="22">
        <f>'G4- Attendance'!C36</f>
        <v/>
      </c>
      <c r="D36" s="25">
        <f>'G4- Attendance'!D36</f>
        <v/>
      </c>
      <c r="E36" s="6" t="n">
        <v>40</v>
      </c>
      <c r="F36" s="8">
        <f>'G4- Attendance'!AH36</f>
        <v/>
      </c>
      <c r="G36" s="16">
        <f>E36+F36</f>
        <v/>
      </c>
      <c r="H36" s="79" t="n">
        <v>80</v>
      </c>
      <c r="I36" s="26" t="n"/>
    </row>
    <row r="37">
      <c r="A37" s="50" t="n"/>
      <c r="B37" s="22" t="n">
        <v>29</v>
      </c>
      <c r="C37" s="22">
        <f>'G4- Attendance'!C37</f>
        <v/>
      </c>
      <c r="D37" s="25">
        <f>'G4- Attendance'!D37</f>
        <v/>
      </c>
      <c r="E37" s="6" t="n"/>
      <c r="F37" s="8">
        <f>'G4- Attendance'!AH37</f>
        <v/>
      </c>
      <c r="G37" s="16">
        <f>E37+F37</f>
        <v/>
      </c>
      <c r="H37" s="79" t="n">
        <v>87</v>
      </c>
      <c r="I37" s="26" t="n"/>
    </row>
    <row r="38">
      <c r="A38" s="50" t="n"/>
      <c r="B38" s="22" t="n">
        <v>30</v>
      </c>
      <c r="C38" s="22">
        <f>'G4- Attendance'!C38</f>
        <v/>
      </c>
      <c r="D38" s="25">
        <f>'G4- Attendance'!D38</f>
        <v/>
      </c>
      <c r="E38" s="6" t="n"/>
      <c r="F38" s="8">
        <f>'G4- Attendance'!AH38</f>
        <v/>
      </c>
      <c r="G38" s="16">
        <f>E38+F38</f>
        <v/>
      </c>
      <c r="H38" s="79" t="n">
        <v>80</v>
      </c>
      <c r="I38" s="26" t="n"/>
    </row>
    <row r="39">
      <c r="A39" s="50" t="n"/>
      <c r="B39" s="22" t="n">
        <v>31</v>
      </c>
      <c r="C39" s="22">
        <f>'G4- Attendance'!C39</f>
        <v/>
      </c>
      <c r="D39" s="25">
        <f>'G4- Attendance'!D39</f>
        <v/>
      </c>
      <c r="E39" s="6" t="n"/>
      <c r="F39" s="8">
        <f>'G4- Attendance'!AH39</f>
        <v/>
      </c>
      <c r="G39" s="16">
        <f>E39+F39</f>
        <v/>
      </c>
      <c r="H39" s="79" t="n">
        <v>92</v>
      </c>
      <c r="I39" s="26" t="n"/>
    </row>
    <row r="40">
      <c r="A40" s="50" t="n"/>
      <c r="B40" s="22" t="n">
        <v>32</v>
      </c>
      <c r="C40" s="22">
        <f>'G4- Attendance'!C40</f>
        <v/>
      </c>
      <c r="D40" s="25">
        <f>'G4- Attendance'!D40</f>
        <v/>
      </c>
      <c r="E40" s="6" t="n"/>
      <c r="F40" s="8">
        <f>'G4- Attendance'!AH40</f>
        <v/>
      </c>
      <c r="G40" s="16">
        <f>E40+F40</f>
        <v/>
      </c>
      <c r="H40" s="79" t="n">
        <v>75</v>
      </c>
      <c r="I40" s="26" t="n"/>
    </row>
    <row r="41">
      <c r="A41" s="50" t="n"/>
      <c r="B41" s="22" t="n">
        <v>33</v>
      </c>
      <c r="C41" s="22">
        <f>'G4- Attendance'!C41</f>
        <v/>
      </c>
      <c r="D41" s="25">
        <f>'G4- Attendance'!D41</f>
        <v/>
      </c>
      <c r="E41" s="6" t="n"/>
      <c r="F41" s="8">
        <f>'G4- Attendance'!AH41</f>
        <v/>
      </c>
      <c r="G41" s="16">
        <f>E41+F41</f>
        <v/>
      </c>
      <c r="H41" s="79" t="n">
        <v>77</v>
      </c>
      <c r="I41" s="26" t="n"/>
    </row>
    <row r="42">
      <c r="A42" s="50" t="n"/>
      <c r="B42" s="22" t="n">
        <v>34</v>
      </c>
      <c r="C42" s="22">
        <f>'G4- Attendance'!C42</f>
        <v/>
      </c>
      <c r="D42" s="25">
        <f>'G4- Attendance'!D42</f>
        <v/>
      </c>
      <c r="E42" s="6" t="n"/>
      <c r="F42" s="8">
        <f>'G4- Attendance'!AH42</f>
        <v/>
      </c>
      <c r="G42" s="16">
        <f>E42+F42</f>
        <v/>
      </c>
      <c r="H42" s="79" t="n">
        <v>75</v>
      </c>
      <c r="I42" s="26" t="n"/>
    </row>
    <row r="43">
      <c r="A43" s="50" t="n"/>
      <c r="B43" s="22" t="n">
        <v>35</v>
      </c>
      <c r="C43" s="22">
        <f>'G4- Attendance'!C43</f>
        <v/>
      </c>
      <c r="D43" s="25">
        <f>'G4- Attendance'!D43</f>
        <v/>
      </c>
      <c r="E43" s="6" t="n"/>
      <c r="F43" s="8">
        <f>'G4- Attendance'!AH43</f>
        <v/>
      </c>
      <c r="G43" s="16">
        <f>E43+F43</f>
        <v/>
      </c>
      <c r="H43" s="79" t="n">
        <v>70</v>
      </c>
      <c r="I43" s="26" t="n"/>
    </row>
    <row r="44">
      <c r="A44" s="50" t="n"/>
      <c r="B44" s="22" t="n">
        <v>36</v>
      </c>
      <c r="C44" s="22">
        <f>'G4- Attendance'!C44</f>
        <v/>
      </c>
      <c r="D44" s="25">
        <f>'G4- Attendance'!D44</f>
        <v/>
      </c>
      <c r="E44" s="6" t="n"/>
      <c r="F44" s="8">
        <f>'G4- Attendance'!AH44</f>
        <v/>
      </c>
      <c r="G44" s="16">
        <f>E44+F44</f>
        <v/>
      </c>
      <c r="H44" s="79" t="n">
        <v>88</v>
      </c>
      <c r="I44" s="26" t="n"/>
    </row>
    <row r="45">
      <c r="A45" s="50" t="n"/>
      <c r="B45" s="22" t="n">
        <v>37</v>
      </c>
      <c r="C45" s="22">
        <f>'G4- Attendance'!C45</f>
        <v/>
      </c>
      <c r="D45" s="25">
        <f>'G4- Attendance'!D45</f>
        <v/>
      </c>
      <c r="E45" s="6" t="n"/>
      <c r="F45" s="8">
        <f>'G4- Attendance'!AH45</f>
        <v/>
      </c>
      <c r="G45" s="16">
        <f>E45+F45</f>
        <v/>
      </c>
      <c r="H45" s="79" t="n">
        <v>98</v>
      </c>
      <c r="I45" s="26" t="n"/>
    </row>
    <row r="46">
      <c r="A46" s="50" t="n"/>
      <c r="B46" s="22" t="n">
        <v>38</v>
      </c>
      <c r="C46" s="22">
        <f>'G4- Attendance'!C46</f>
        <v/>
      </c>
      <c r="D46" s="25">
        <f>'G4- Attendance'!D46</f>
        <v/>
      </c>
      <c r="E46" s="6" t="n"/>
      <c r="F46" s="8">
        <f>'G4- Attendance'!AH46</f>
        <v/>
      </c>
      <c r="G46" s="16">
        <f>E46+F46</f>
        <v/>
      </c>
      <c r="H46" s="79" t="n">
        <v>83</v>
      </c>
      <c r="I46" s="26" t="n"/>
    </row>
    <row r="47">
      <c r="A47" s="50" t="n"/>
      <c r="B47" s="22" t="n">
        <v>39</v>
      </c>
      <c r="C47" s="22">
        <f>'G4- Attendance'!C47</f>
        <v/>
      </c>
      <c r="D47" s="25">
        <f>'G4- Attendance'!D47</f>
        <v/>
      </c>
      <c r="E47" s="6" t="n"/>
      <c r="F47" s="8">
        <f>'G4- Attendance'!AH47</f>
        <v/>
      </c>
      <c r="G47" s="16">
        <f>E47+F47</f>
        <v/>
      </c>
      <c r="H47" s="79" t="n">
        <v>94</v>
      </c>
      <c r="I47" s="26" t="n"/>
    </row>
    <row r="48">
      <c r="A48" s="50" t="n"/>
      <c r="B48" s="22" t="n">
        <v>40</v>
      </c>
      <c r="C48" s="22">
        <f>'G4- Attendance'!C48</f>
        <v/>
      </c>
      <c r="D48" s="25">
        <f>'G4- Attendance'!D48</f>
        <v/>
      </c>
      <c r="E48" s="6" t="n"/>
      <c r="F48" s="8">
        <f>'G4- Attendance'!AH48</f>
        <v/>
      </c>
      <c r="G48" s="16">
        <f>E48+F48</f>
        <v/>
      </c>
      <c r="H48" s="79" t="n">
        <v>72</v>
      </c>
      <c r="I48" s="26" t="n"/>
    </row>
    <row r="49">
      <c r="A49" s="50" t="n"/>
      <c r="B49" s="22" t="n">
        <v>41</v>
      </c>
      <c r="C49" s="22">
        <f>'G4- Attendance'!C49</f>
        <v/>
      </c>
      <c r="D49" s="25">
        <f>'G4- Attendance'!D49</f>
        <v/>
      </c>
      <c r="E49" s="6" t="n"/>
      <c r="F49" s="8">
        <f>'G4- Attendance'!AH49</f>
        <v/>
      </c>
      <c r="G49" s="16">
        <f>E49+F49</f>
        <v/>
      </c>
      <c r="H49" s="79" t="n">
        <v>98</v>
      </c>
      <c r="I49" s="26" t="n"/>
    </row>
    <row r="50">
      <c r="A50" s="50" t="n"/>
      <c r="B50" s="22" t="n">
        <v>42</v>
      </c>
      <c r="C50" s="22">
        <f>'G4- Attendance'!C50</f>
        <v/>
      </c>
      <c r="D50" s="25">
        <f>'G4- Attendance'!D50</f>
        <v/>
      </c>
      <c r="E50" s="6" t="n"/>
      <c r="F50" s="8">
        <f>'G4- Attendance'!AH50</f>
        <v/>
      </c>
      <c r="G50" s="16">
        <f>E50+F50</f>
        <v/>
      </c>
      <c r="H50" s="79" t="n">
        <v>89</v>
      </c>
      <c r="I50" s="26" t="n"/>
    </row>
    <row r="51">
      <c r="A51" s="50" t="n"/>
      <c r="B51" s="22" t="n">
        <v>43</v>
      </c>
      <c r="C51" s="22">
        <f>'G4- Attendance'!C51</f>
        <v/>
      </c>
      <c r="D51" s="25">
        <f>'G4- Attendance'!D51</f>
        <v/>
      </c>
      <c r="E51" s="6" t="n"/>
      <c r="F51" s="8">
        <f>'G4- Attendance'!AH51</f>
        <v/>
      </c>
      <c r="G51" s="16">
        <f>E51+F51</f>
        <v/>
      </c>
      <c r="H51" s="79" t="n">
        <v>82</v>
      </c>
      <c r="I51" s="26" t="n"/>
    </row>
    <row r="52">
      <c r="A52" s="50" t="n"/>
      <c r="B52" s="22" t="n">
        <v>44</v>
      </c>
      <c r="C52" s="22">
        <f>'G4- Attendance'!C52</f>
        <v/>
      </c>
      <c r="D52" s="25">
        <f>'G4- Attendance'!D52</f>
        <v/>
      </c>
      <c r="E52" s="6" t="n"/>
      <c r="F52" s="8">
        <f>'G4- Attendance'!AH52</f>
        <v/>
      </c>
      <c r="G52" s="16">
        <f>E52+F52</f>
        <v/>
      </c>
      <c r="H52" s="79" t="n">
        <v>72</v>
      </c>
      <c r="I52" s="26" t="n"/>
    </row>
    <row r="53">
      <c r="A53" s="50" t="n"/>
      <c r="B53" s="22" t="n">
        <v>45</v>
      </c>
      <c r="C53" s="22">
        <f>'G4- Attendance'!C53</f>
        <v/>
      </c>
      <c r="D53" s="25">
        <f>'G4- Attendance'!D53</f>
        <v/>
      </c>
      <c r="E53" s="6" t="n"/>
      <c r="F53" s="8">
        <f>'G4- Attendance'!AH53</f>
        <v/>
      </c>
      <c r="G53" s="16">
        <f>E53+F53</f>
        <v/>
      </c>
      <c r="H53" s="79" t="n">
        <v>70</v>
      </c>
      <c r="I53" s="26" t="n"/>
    </row>
    <row r="54">
      <c r="A54" s="50" t="n"/>
      <c r="B54" s="22" t="n">
        <v>46</v>
      </c>
      <c r="C54" s="22">
        <f>'G4- Attendance'!C54</f>
        <v/>
      </c>
      <c r="D54" s="25">
        <f>'G4- Attendance'!D54</f>
        <v/>
      </c>
      <c r="E54" s="6" t="n"/>
      <c r="F54" s="8">
        <f>'G4- Attendance'!AH54</f>
        <v/>
      </c>
      <c r="G54" s="16">
        <f>E54+F54</f>
        <v/>
      </c>
      <c r="H54" s="79" t="n">
        <v>80</v>
      </c>
      <c r="I54" s="26" t="n"/>
    </row>
    <row r="55">
      <c r="A55" s="50" t="n"/>
      <c r="B55" s="22" t="n">
        <v>47</v>
      </c>
      <c r="C55" s="22">
        <f>'G4- Attendance'!C55</f>
        <v/>
      </c>
      <c r="D55" s="25">
        <f>'G4- Attendance'!D55</f>
        <v/>
      </c>
      <c r="E55" s="6" t="n"/>
      <c r="F55" s="8">
        <f>'G4- Attendance'!AH55</f>
        <v/>
      </c>
      <c r="G55" s="16">
        <f>E55+F55</f>
        <v/>
      </c>
      <c r="H55" s="79" t="n">
        <v>99</v>
      </c>
      <c r="I55" s="26" t="n"/>
    </row>
    <row r="56">
      <c r="A56" s="50" t="n"/>
      <c r="B56" s="22" t="n">
        <v>48</v>
      </c>
      <c r="C56" s="22">
        <f>'G4- Attendance'!C56</f>
        <v/>
      </c>
      <c r="D56" s="25">
        <f>'G4- Attendance'!D56</f>
        <v/>
      </c>
      <c r="E56" s="6" t="n"/>
      <c r="F56" s="8">
        <f>'G4- Attendance'!AH56</f>
        <v/>
      </c>
      <c r="G56" s="16">
        <f>E56+F56</f>
        <v/>
      </c>
      <c r="H56" s="79" t="n">
        <v>77</v>
      </c>
      <c r="I56" s="26" t="n"/>
    </row>
    <row r="57">
      <c r="A57" s="50" t="n"/>
      <c r="B57" s="22" t="n">
        <v>49</v>
      </c>
      <c r="C57" s="22">
        <f>'G4- Attendance'!C57</f>
        <v/>
      </c>
      <c r="D57" s="25">
        <f>'G4- Attendance'!D57</f>
        <v/>
      </c>
      <c r="E57" s="6" t="n"/>
      <c r="F57" s="8">
        <f>'G4- Attendance'!AH57</f>
        <v/>
      </c>
      <c r="G57" s="16">
        <f>E57+F57</f>
        <v/>
      </c>
      <c r="H57" s="79" t="n">
        <v>55</v>
      </c>
      <c r="I57" s="26" t="n"/>
    </row>
    <row r="58">
      <c r="A58" s="50" t="n"/>
      <c r="B58" s="22" t="n">
        <v>50</v>
      </c>
      <c r="C58" s="22">
        <f>'G4- Attendance'!C58</f>
        <v/>
      </c>
      <c r="D58" s="25">
        <f>'G4- Attendance'!D58</f>
        <v/>
      </c>
      <c r="E58" s="6" t="n"/>
      <c r="F58" s="8">
        <f>'G4- Attendance'!AH58</f>
        <v/>
      </c>
      <c r="G58" s="16">
        <f>E58+F58</f>
        <v/>
      </c>
      <c r="H58" s="79" t="n">
        <v>92</v>
      </c>
      <c r="I58" s="26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26" t="n"/>
    </row>
  </sheetData>
  <mergeCells count="5">
    <mergeCell ref="A5:C5"/>
    <mergeCell ref="A6:C6"/>
    <mergeCell ref="A3:C3"/>
    <mergeCell ref="A4:C4"/>
    <mergeCell ref="A2:C2"/>
  </mergeCells>
  <dataValidations xWindow="746" yWindow="509" count="2">
    <dataValidation sqref="H9:H58" showDropDown="0" showInputMessage="1" showErrorMessage="1" allowBlank="1" errorTitle="Number out of range" error="Must be from 0-100" promptTitle="Enter EOT Mark" prompt="Must be from 0-100" type="whole">
      <formula1>0</formula1>
      <formula2>100</formula2>
    </dataValidation>
    <dataValidation sqref="E9:E58" showDropDown="0" showInputMessage="1" showErrorMessage="1" allowBlank="1" errorTitle="Number out of range" error="Must be from 0-80" promptTitle="Enter SB Mark" prompt="Must be from 0-80." type="whole">
      <formula1>0</formula1>
      <formula2>80</formula2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AI59"/>
  <sheetViews>
    <sheetView workbookViewId="0">
      <selection activeCell="A1" sqref="A1"/>
    </sheetView>
  </sheetViews>
  <sheetFormatPr baseColWidth="8" defaultColWidth="9.140625" defaultRowHeight="15"/>
  <cols>
    <col width="3.140625" customWidth="1" style="1" min="1" max="1"/>
    <col width="4.28515625" customWidth="1" style="2" min="2" max="2"/>
    <col width="12.85546875" bestFit="1" customWidth="1" style="2" min="3" max="3"/>
    <col width="38.5703125" customWidth="1" style="1" min="4" max="4"/>
    <col width="5.7109375" customWidth="1" style="1" min="5" max="10"/>
    <col width="7.85546875" bestFit="1" customWidth="1" style="1" min="11" max="11"/>
    <col width="5.7109375" customWidth="1" style="1" min="12" max="15"/>
    <col width="7.140625" customWidth="1" style="1" min="16" max="16"/>
    <col width="5.7109375" customWidth="1" style="1" min="17" max="20"/>
    <col width="7.85546875" bestFit="1" customWidth="1" style="1" min="21" max="21"/>
    <col width="5.7109375" customWidth="1" style="1" min="22" max="25"/>
    <col width="7.85546875" bestFit="1" customWidth="1" style="1" min="26" max="26"/>
    <col width="13" customWidth="1" style="1" min="27" max="27"/>
    <col width="12.28515625" customWidth="1" style="1" min="28" max="28"/>
    <col width="11" customWidth="1" style="1" min="29" max="29"/>
    <col width="12.28515625" customWidth="1" style="1" min="30" max="30"/>
    <col width="8" customWidth="1" style="1" min="31" max="31"/>
    <col width="14.7109375" customWidth="1" style="1" min="32" max="32"/>
    <col width="10.5703125" customWidth="1" style="1" min="33" max="33"/>
    <col width="11.28515625" customWidth="1" style="1" min="34" max="34"/>
    <col width="23.5703125" customWidth="1" style="1" min="35" max="35"/>
    <col width="9.140625" customWidth="1" style="1" min="36" max="16384"/>
  </cols>
  <sheetData>
    <row r="1" ht="25.5" customHeight="1" thickBot="1">
      <c r="A1" s="26" t="n"/>
      <c r="B1" s="27" t="n"/>
      <c r="C1" s="28" t="inlineStr">
        <is>
          <t>Section:</t>
        </is>
      </c>
      <c r="D1" s="29" t="inlineStr">
        <is>
          <t>4</t>
        </is>
      </c>
      <c r="E1" s="30" t="inlineStr">
        <is>
          <t>Attendance &amp; Effort Sheet</t>
        </is>
      </c>
      <c r="F1" s="26" t="n"/>
      <c r="G1" s="26" t="n"/>
      <c r="H1" s="26" t="n"/>
      <c r="I1" s="31" t="n"/>
      <c r="J1" s="31" t="n"/>
      <c r="K1" s="31" t="n"/>
      <c r="L1" s="31" t="n"/>
      <c r="M1" s="31" t="n"/>
      <c r="N1" s="32" t="n"/>
      <c r="O1" s="32" t="n"/>
      <c r="P1" s="65" t="inlineStr">
        <is>
          <t>P=Present</t>
        </is>
      </c>
      <c r="Q1" s="66" t="n"/>
      <c r="R1" s="66" t="n"/>
      <c r="S1" s="26" t="n"/>
      <c r="T1" s="26" t="n"/>
      <c r="U1" s="32" t="n"/>
      <c r="V1" s="32" t="n"/>
      <c r="W1" s="32" t="n"/>
      <c r="X1" s="32" t="n"/>
      <c r="Y1" s="32" t="n"/>
      <c r="Z1" s="32" t="n"/>
      <c r="AA1" s="33" t="n"/>
      <c r="AB1" s="26" t="n"/>
      <c r="AC1" s="26" t="n"/>
      <c r="AD1" s="26" t="n"/>
      <c r="AE1" s="26" t="n"/>
      <c r="AF1" s="33" t="n"/>
      <c r="AG1" s="26" t="n"/>
      <c r="AH1" s="26" t="n"/>
      <c r="AI1" s="26" t="n"/>
    </row>
    <row r="2" ht="24" customHeight="1">
      <c r="A2" s="89" t="inlineStr">
        <is>
          <t>Teacher Name:</t>
        </is>
      </c>
      <c r="B2" s="94" t="n"/>
      <c r="C2" s="95" t="n"/>
      <c r="D2" s="34" t="n"/>
      <c r="E2" s="35" t="inlineStr">
        <is>
          <t xml:space="preserve">Computing, Creative Design and Innovation </t>
        </is>
      </c>
      <c r="F2" s="26" t="n"/>
      <c r="G2" s="26" t="n"/>
      <c r="H2" s="26" t="n"/>
      <c r="I2" s="31" t="n"/>
      <c r="J2" s="31" t="n"/>
      <c r="K2" s="31" t="n"/>
      <c r="L2" s="31" t="n"/>
      <c r="M2" s="31" t="n"/>
      <c r="N2" s="32" t="n"/>
      <c r="O2" s="32" t="n"/>
      <c r="P2" s="67" t="inlineStr">
        <is>
          <t>A=Absent</t>
        </is>
      </c>
      <c r="Q2" s="68" t="n"/>
      <c r="R2" s="68" t="n"/>
      <c r="S2" s="26" t="n"/>
      <c r="T2" s="26" t="n"/>
      <c r="U2" s="36" t="n"/>
      <c r="V2" s="36" t="n"/>
      <c r="W2" s="36" t="n"/>
      <c r="X2" s="36" t="n"/>
      <c r="Y2" s="36" t="n"/>
      <c r="Z2" s="36" t="n"/>
      <c r="AA2" s="37" t="n"/>
      <c r="AB2" s="37" t="n"/>
      <c r="AC2" s="37" t="n"/>
      <c r="AD2" s="37" t="n"/>
      <c r="AE2" s="37" t="n"/>
      <c r="AF2" s="26" t="n"/>
      <c r="AG2" s="26" t="n"/>
      <c r="AH2" s="26" t="n"/>
      <c r="AI2" s="26" t="n"/>
    </row>
    <row r="3" ht="29.25" customHeight="1">
      <c r="A3" s="89" t="inlineStr">
        <is>
          <t>School ID:</t>
        </is>
      </c>
      <c r="B3" s="94" t="n"/>
      <c r="C3" s="95" t="n"/>
      <c r="D3" s="34" t="n"/>
      <c r="E3" s="38" t="inlineStr">
        <is>
          <t>Grade 4</t>
        </is>
      </c>
      <c r="F3" s="26" t="n"/>
      <c r="G3" s="26" t="n"/>
      <c r="H3" s="26" t="n"/>
      <c r="I3" s="26" t="n"/>
      <c r="J3" s="39" t="n"/>
      <c r="K3" s="31" t="n"/>
      <c r="L3" s="31" t="n"/>
      <c r="M3" s="31" t="n"/>
      <c r="N3" s="36" t="n"/>
      <c r="O3" s="36" t="n"/>
      <c r="P3" s="69" t="inlineStr">
        <is>
          <t>L=Late</t>
        </is>
      </c>
      <c r="Q3" s="70" t="n"/>
      <c r="R3" s="70" t="n"/>
      <c r="S3" s="26" t="n"/>
      <c r="T3" s="26" t="n"/>
      <c r="U3" s="36" t="n"/>
      <c r="V3" s="36" t="n"/>
      <c r="W3" s="36" t="n"/>
      <c r="X3" s="36" t="n"/>
      <c r="Y3" s="36" t="n"/>
      <c r="Z3" s="36" t="n"/>
      <c r="AA3" s="37" t="n"/>
      <c r="AB3" s="37" t="n"/>
      <c r="AC3" s="37" t="n"/>
      <c r="AD3" s="37" t="n"/>
      <c r="AE3" s="37" t="n"/>
      <c r="AF3" s="26" t="n"/>
      <c r="AG3" s="26" t="n"/>
      <c r="AH3" s="26" t="n"/>
      <c r="AI3" s="26" t="n"/>
    </row>
    <row r="4" ht="24.75" customHeight="1" thickBot="1">
      <c r="A4" s="89" t="inlineStr">
        <is>
          <t>School Name:</t>
        </is>
      </c>
      <c r="B4" s="94" t="n"/>
      <c r="C4" s="95" t="n"/>
      <c r="D4" s="34" t="n"/>
      <c r="E4" s="40" t="inlineStr">
        <is>
          <t>Term 2 - 2024/2025</t>
        </is>
      </c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41" t="n"/>
      <c r="AB4" s="41" t="n"/>
      <c r="AC4" s="41" t="n"/>
      <c r="AD4" s="41" t="n"/>
      <c r="AE4" s="41" t="n"/>
      <c r="AF4" s="41" t="n"/>
      <c r="AG4" s="41" t="n"/>
      <c r="AH4" s="26" t="n"/>
      <c r="AI4" s="26" t="n"/>
    </row>
    <row r="5" ht="23.25" customHeight="1">
      <c r="A5" s="89" t="inlineStr">
        <is>
          <t>Emirate/Area:</t>
        </is>
      </c>
      <c r="B5" s="94" t="n"/>
      <c r="C5" s="95" t="n"/>
      <c r="D5" s="34" t="n"/>
      <c r="E5" s="42" t="inlineStr">
        <is>
          <t>1. Student 'attendance' and 'effort' is part of the total of the School-Based mark. Please ensure that you record all attendance here.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5" t="n"/>
      <c r="AC5" s="45" t="n"/>
      <c r="AD5" s="45" t="n"/>
      <c r="AE5" s="45" t="n"/>
      <c r="AF5" s="45" t="n"/>
      <c r="AG5" s="45" t="n"/>
      <c r="AH5" s="45" t="n"/>
      <c r="AI5" s="45" t="n"/>
    </row>
    <row r="6" ht="24.75" customHeight="1">
      <c r="A6" s="89" t="inlineStr">
        <is>
          <t>Council:</t>
        </is>
      </c>
      <c r="B6" s="94" t="n"/>
      <c r="C6" s="95" t="n"/>
      <c r="D6" s="34" t="n"/>
      <c r="E6" s="46" t="inlineStr">
        <is>
          <t>2. Consult your principal for late/absent policy</t>
        </is>
      </c>
      <c r="F6" s="47" t="n"/>
      <c r="G6" s="47" t="n"/>
      <c r="H6" s="47" t="n"/>
      <c r="I6" s="47" t="n"/>
      <c r="J6" s="47" t="n"/>
      <c r="K6" s="47" t="n"/>
      <c r="L6" s="47" t="n"/>
      <c r="M6" s="47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26" t="n"/>
      <c r="AC6" s="26" t="n"/>
      <c r="AD6" s="26" t="n"/>
      <c r="AE6" s="26" t="n"/>
      <c r="AF6" s="26" t="n"/>
      <c r="AG6" s="26" t="n"/>
      <c r="AH6" s="26" t="n"/>
      <c r="AI6" s="26" t="n"/>
    </row>
    <row r="7" ht="18.75" customHeight="1">
      <c r="A7" s="32" t="n"/>
      <c r="B7" s="27" t="n"/>
      <c r="C7" s="48" t="n"/>
      <c r="D7" s="49" t="n"/>
      <c r="E7" s="82" t="inlineStr">
        <is>
          <t>Week 1</t>
        </is>
      </c>
      <c r="F7" s="96" t="n"/>
      <c r="G7" s="81" t="inlineStr">
        <is>
          <t>Week 2</t>
        </is>
      </c>
      <c r="H7" s="96" t="n"/>
      <c r="I7" s="82" t="inlineStr">
        <is>
          <t>Week 3</t>
        </is>
      </c>
      <c r="J7" s="96" t="n"/>
      <c r="K7" s="20" t="inlineStr">
        <is>
          <t>Effort</t>
        </is>
      </c>
      <c r="L7" s="81" t="inlineStr">
        <is>
          <t>Week 4</t>
        </is>
      </c>
      <c r="M7" s="96" t="n"/>
      <c r="N7" s="82" t="inlineStr">
        <is>
          <t>Week 5</t>
        </is>
      </c>
      <c r="O7" s="96" t="n"/>
      <c r="P7" s="20" t="inlineStr">
        <is>
          <t>Effort</t>
        </is>
      </c>
      <c r="Q7" s="81" t="inlineStr">
        <is>
          <t>Week 6</t>
        </is>
      </c>
      <c r="R7" s="96" t="n"/>
      <c r="S7" s="82" t="inlineStr">
        <is>
          <t>Week 7</t>
        </is>
      </c>
      <c r="T7" s="96" t="n"/>
      <c r="U7" s="20" t="inlineStr">
        <is>
          <t>Effort</t>
        </is>
      </c>
      <c r="V7" s="81" t="inlineStr">
        <is>
          <t>Week 8</t>
        </is>
      </c>
      <c r="W7" s="96" t="n"/>
      <c r="X7" s="82" t="inlineStr">
        <is>
          <t>Week 9</t>
        </is>
      </c>
      <c r="Y7" s="96" t="n"/>
      <c r="Z7" s="20" t="inlineStr">
        <is>
          <t>Effort</t>
        </is>
      </c>
      <c r="AA7" s="20" t="inlineStr">
        <is>
          <t>Avg</t>
        </is>
      </c>
      <c r="AB7" s="26" t="n"/>
      <c r="AC7" s="26" t="n"/>
      <c r="AD7" s="26" t="n"/>
      <c r="AE7" s="26" t="n"/>
      <c r="AF7" s="26" t="n"/>
      <c r="AG7" s="26" t="n"/>
      <c r="AH7" s="26" t="n"/>
      <c r="AI7" s="26" t="n"/>
    </row>
    <row r="8" ht="50.25" customHeight="1">
      <c r="A8" s="26" t="n"/>
      <c r="B8" s="51" t="inlineStr">
        <is>
          <t>No</t>
        </is>
      </c>
      <c r="C8" s="51" t="inlineStr">
        <is>
          <t>Student #</t>
        </is>
      </c>
      <c r="D8" s="52" t="inlineStr">
        <is>
          <t>Student Name</t>
        </is>
      </c>
      <c r="E8" s="85" t="n">
        <v>45663</v>
      </c>
      <c r="F8" s="96" t="n"/>
      <c r="G8" s="85" t="n">
        <v>45670</v>
      </c>
      <c r="H8" s="96" t="n"/>
      <c r="I8" s="85" t="n">
        <v>45677</v>
      </c>
      <c r="J8" s="96" t="n"/>
      <c r="K8" s="24" t="inlineStr">
        <is>
          <t>10M</t>
        </is>
      </c>
      <c r="L8" s="85" t="n">
        <v>45684</v>
      </c>
      <c r="M8" s="96" t="n"/>
      <c r="N8" s="85" t="n">
        <v>45691</v>
      </c>
      <c r="O8" s="96" t="n"/>
      <c r="P8" s="24" t="inlineStr">
        <is>
          <t>10M</t>
        </is>
      </c>
      <c r="Q8" s="85" t="n">
        <v>45698</v>
      </c>
      <c r="R8" s="96" t="n"/>
      <c r="S8" s="85" t="n">
        <v>45705</v>
      </c>
      <c r="T8" s="96" t="n"/>
      <c r="U8" s="24" t="inlineStr">
        <is>
          <t>10M</t>
        </is>
      </c>
      <c r="V8" s="85" t="n">
        <v>45712</v>
      </c>
      <c r="W8" s="96" t="n"/>
      <c r="X8" s="85" t="n">
        <v>45719</v>
      </c>
      <c r="Y8" s="96" t="n"/>
      <c r="Z8" s="24" t="inlineStr">
        <is>
          <t>10M</t>
        </is>
      </c>
      <c r="AA8" s="21" t="inlineStr">
        <is>
          <t>Effort</t>
        </is>
      </c>
      <c r="AB8" s="71" t="inlineStr">
        <is>
          <t>#Present</t>
        </is>
      </c>
      <c r="AC8" s="72" t="inlineStr">
        <is>
          <t>#Late</t>
        </is>
      </c>
      <c r="AD8" s="72" t="inlineStr">
        <is>
          <t>#Absence</t>
        </is>
      </c>
      <c r="AE8" s="73" t="inlineStr">
        <is>
          <t>Tot Att</t>
        </is>
      </c>
      <c r="AF8" s="73" t="inlineStr">
        <is>
          <t>Attendance Mark (10)</t>
        </is>
      </c>
      <c r="AG8" s="73" t="inlineStr">
        <is>
          <t>Effort Mark (10)</t>
        </is>
      </c>
      <c r="AH8" s="73" t="inlineStr">
        <is>
          <t>Total Marks (20)</t>
        </is>
      </c>
      <c r="AI8" s="74" t="inlineStr">
        <is>
          <t>Comments</t>
        </is>
      </c>
    </row>
    <row r="9">
      <c r="A9" s="50" t="n"/>
      <c r="B9" s="4" t="n">
        <v>1</v>
      </c>
      <c r="C9" s="4" t="n">
        <v>1</v>
      </c>
      <c r="D9" s="7" t="inlineStr">
        <is>
          <t>الدماني منصور عجيل الشين الجحافي</t>
        </is>
      </c>
      <c r="E9" s="15" t="inlineStr">
        <is>
          <t>NA</t>
        </is>
      </c>
      <c r="F9" s="15" t="inlineStr">
        <is>
          <t>NA</t>
        </is>
      </c>
      <c r="G9" s="4" t="inlineStr">
        <is>
          <t>P</t>
        </is>
      </c>
      <c r="H9" s="4" t="inlineStr">
        <is>
          <t>P</t>
        </is>
      </c>
      <c r="I9" s="4" t="inlineStr">
        <is>
          <t>P</t>
        </is>
      </c>
      <c r="J9" s="4" t="inlineStr">
        <is>
          <t>P</t>
        </is>
      </c>
      <c r="K9" s="9" t="n">
        <v>10</v>
      </c>
      <c r="L9" s="4" t="inlineStr">
        <is>
          <t>P</t>
        </is>
      </c>
      <c r="M9" s="4" t="inlineStr">
        <is>
          <t>P</t>
        </is>
      </c>
      <c r="N9" s="4" t="inlineStr">
        <is>
          <t>P</t>
        </is>
      </c>
      <c r="O9" s="4" t="inlineStr">
        <is>
          <t>P</t>
        </is>
      </c>
      <c r="P9" s="9" t="n">
        <v>10</v>
      </c>
      <c r="Q9" s="4" t="inlineStr">
        <is>
          <t>P</t>
        </is>
      </c>
      <c r="R9" s="4" t="inlineStr">
        <is>
          <t>P</t>
        </is>
      </c>
      <c r="S9" s="4" t="inlineStr">
        <is>
          <t>P</t>
        </is>
      </c>
      <c r="T9" s="4" t="inlineStr">
        <is>
          <t>P</t>
        </is>
      </c>
      <c r="U9" s="9" t="n">
        <v>10</v>
      </c>
      <c r="V9" s="4" t="inlineStr">
        <is>
          <t>P</t>
        </is>
      </c>
      <c r="W9" s="4" t="inlineStr">
        <is>
          <t>P</t>
        </is>
      </c>
      <c r="X9" s="4" t="inlineStr">
        <is>
          <t>P</t>
        </is>
      </c>
      <c r="Y9" s="4" t="inlineStr">
        <is>
          <t>P</t>
        </is>
      </c>
      <c r="Z9" s="9" t="n">
        <v>10</v>
      </c>
      <c r="AA9" s="10">
        <f>AVERAGE(K9,P9,U9,Z9)</f>
        <v/>
      </c>
      <c r="AB9" s="11">
        <f>COUNTIF(G9:Z9,"P")</f>
        <v/>
      </c>
      <c r="AC9" s="12">
        <f>COUNTIF(G9:Z9,"L")</f>
        <v/>
      </c>
      <c r="AD9" s="13">
        <f>COUNTIF(G9:Z9,"A")</f>
        <v/>
      </c>
      <c r="AE9" s="14">
        <f>AB9+AC9</f>
        <v/>
      </c>
      <c r="AF9" s="8">
        <f>AE9/16*10</f>
        <v/>
      </c>
      <c r="AG9" s="8">
        <f>AA9</f>
        <v/>
      </c>
      <c r="AH9" s="8" t="n">
        <v>19</v>
      </c>
      <c r="AI9" s="5" t="inlineStr">
        <is>
          <t>Excellent work and effort</t>
        </is>
      </c>
    </row>
    <row r="10">
      <c r="A10" s="50" t="n"/>
      <c r="B10" s="4" t="n">
        <v>2</v>
      </c>
      <c r="C10" s="4" t="n">
        <v>2</v>
      </c>
      <c r="D10" s="7" t="inlineStr">
        <is>
          <t>بسملة خمليش</t>
        </is>
      </c>
      <c r="E10" s="15" t="inlineStr">
        <is>
          <t>NA</t>
        </is>
      </c>
      <c r="F10" s="15" t="inlineStr">
        <is>
          <t>NA</t>
        </is>
      </c>
      <c r="G10" s="4" t="inlineStr">
        <is>
          <t>P</t>
        </is>
      </c>
      <c r="H10" s="4" t="inlineStr">
        <is>
          <t>P</t>
        </is>
      </c>
      <c r="I10" s="4" t="inlineStr">
        <is>
          <t>P</t>
        </is>
      </c>
      <c r="J10" s="4" t="inlineStr">
        <is>
          <t>P</t>
        </is>
      </c>
      <c r="K10" s="9" t="n">
        <v>10</v>
      </c>
      <c r="L10" s="4" t="inlineStr">
        <is>
          <t>A</t>
        </is>
      </c>
      <c r="M10" s="4" t="inlineStr">
        <is>
          <t>A</t>
        </is>
      </c>
      <c r="N10" s="4" t="inlineStr">
        <is>
          <t>L</t>
        </is>
      </c>
      <c r="O10" s="4" t="inlineStr">
        <is>
          <t>P</t>
        </is>
      </c>
      <c r="P10" s="9" t="n">
        <v>10</v>
      </c>
      <c r="Q10" s="4" t="inlineStr">
        <is>
          <t>P</t>
        </is>
      </c>
      <c r="R10" s="4" t="inlineStr">
        <is>
          <t>P</t>
        </is>
      </c>
      <c r="S10" s="4" t="inlineStr">
        <is>
          <t>P</t>
        </is>
      </c>
      <c r="T10" s="4" t="inlineStr">
        <is>
          <t>P</t>
        </is>
      </c>
      <c r="U10" s="9" t="n">
        <v>10</v>
      </c>
      <c r="V10" s="4" t="inlineStr">
        <is>
          <t>P</t>
        </is>
      </c>
      <c r="W10" s="4" t="inlineStr">
        <is>
          <t>P</t>
        </is>
      </c>
      <c r="X10" s="4" t="inlineStr">
        <is>
          <t>P</t>
        </is>
      </c>
      <c r="Y10" s="4" t="inlineStr">
        <is>
          <t>P</t>
        </is>
      </c>
      <c r="Z10" s="9" t="n">
        <v>10</v>
      </c>
      <c r="AA10" s="10">
        <f>AVERAGE(K10,P10,U10,Z10)</f>
        <v/>
      </c>
      <c r="AB10" s="11">
        <f>COUNTIF(G10:Z10,"P")</f>
        <v/>
      </c>
      <c r="AC10" s="12">
        <f>COUNTIF(G10:Z10,"L")</f>
        <v/>
      </c>
      <c r="AD10" s="13">
        <f>COUNTIF(G10:Z10,"A")</f>
        <v/>
      </c>
      <c r="AE10" s="14">
        <f>AB10+AC10</f>
        <v/>
      </c>
      <c r="AF10" s="8">
        <f>AE10/16*10</f>
        <v/>
      </c>
      <c r="AG10" s="8">
        <f>AA10</f>
        <v/>
      </c>
      <c r="AH10" s="8" t="n">
        <v>20</v>
      </c>
      <c r="AI10" s="5" t="n"/>
    </row>
    <row r="11">
      <c r="A11" s="50" t="n"/>
      <c r="B11" s="4" t="n">
        <v>3</v>
      </c>
      <c r="C11" s="4" t="n">
        <v>3</v>
      </c>
      <c r="D11" s="7" t="inlineStr">
        <is>
          <t>حصه صالح سالم البرك العامري</t>
        </is>
      </c>
      <c r="E11" s="15" t="inlineStr">
        <is>
          <t>NA</t>
        </is>
      </c>
      <c r="F11" s="15" t="inlineStr">
        <is>
          <t>NA</t>
        </is>
      </c>
      <c r="G11" s="4" t="inlineStr">
        <is>
          <t>P</t>
        </is>
      </c>
      <c r="H11" s="4" t="inlineStr">
        <is>
          <t>P</t>
        </is>
      </c>
      <c r="I11" s="4" t="inlineStr">
        <is>
          <t>P</t>
        </is>
      </c>
      <c r="J11" s="4" t="inlineStr">
        <is>
          <t>A</t>
        </is>
      </c>
      <c r="K11" s="9" t="n">
        <v>5</v>
      </c>
      <c r="L11" s="4" t="inlineStr">
        <is>
          <t>A</t>
        </is>
      </c>
      <c r="M11" s="4" t="inlineStr">
        <is>
          <t>A</t>
        </is>
      </c>
      <c r="N11" s="4" t="inlineStr">
        <is>
          <t>P</t>
        </is>
      </c>
      <c r="O11" s="4" t="inlineStr">
        <is>
          <t>P</t>
        </is>
      </c>
      <c r="P11" s="9" t="n">
        <v>5</v>
      </c>
      <c r="Q11" s="4" t="inlineStr">
        <is>
          <t>a</t>
        </is>
      </c>
      <c r="R11" s="4" t="inlineStr">
        <is>
          <t>A</t>
        </is>
      </c>
      <c r="S11" s="4" t="inlineStr">
        <is>
          <t>P</t>
        </is>
      </c>
      <c r="T11" s="4" t="inlineStr">
        <is>
          <t>P</t>
        </is>
      </c>
      <c r="U11" s="9" t="n">
        <v>5</v>
      </c>
      <c r="V11" s="4" t="inlineStr">
        <is>
          <t>a</t>
        </is>
      </c>
      <c r="W11" s="4" t="inlineStr">
        <is>
          <t>A</t>
        </is>
      </c>
      <c r="X11" s="4" t="inlineStr">
        <is>
          <t>a</t>
        </is>
      </c>
      <c r="Y11" s="4" t="inlineStr">
        <is>
          <t>a</t>
        </is>
      </c>
      <c r="Z11" s="9" t="n">
        <v>5</v>
      </c>
      <c r="AA11" s="10">
        <f>AVERAGE(K11,P11,U11,Z11)</f>
        <v/>
      </c>
      <c r="AB11" s="11">
        <f>COUNTIF(G11:Z11,"P")</f>
        <v/>
      </c>
      <c r="AC11" s="12">
        <f>COUNTIF(G11:Z11,"L")</f>
        <v/>
      </c>
      <c r="AD11" s="13">
        <f>COUNTIF(G11:Z11,"A")</f>
        <v/>
      </c>
      <c r="AE11" s="14">
        <f>AB11+AC11</f>
        <v/>
      </c>
      <c r="AF11" s="8">
        <f>AE11/16*10</f>
        <v/>
      </c>
      <c r="AG11" s="8">
        <f>AA11</f>
        <v/>
      </c>
      <c r="AH11" s="8" t="n">
        <v>20</v>
      </c>
      <c r="AI11" s="5" t="n"/>
    </row>
    <row r="12">
      <c r="A12" s="50" t="n"/>
      <c r="B12" s="4" t="n">
        <v>4</v>
      </c>
      <c r="C12" s="4" t="n">
        <v>4</v>
      </c>
      <c r="D12" s="7" t="inlineStr">
        <is>
          <t>حمدان محمد سعيد سالمين بن اسحاق</t>
        </is>
      </c>
      <c r="E12" s="15" t="inlineStr">
        <is>
          <t>NA</t>
        </is>
      </c>
      <c r="F12" s="15" t="inlineStr">
        <is>
          <t>NA</t>
        </is>
      </c>
      <c r="G12" s="4" t="n"/>
      <c r="H12" s="4" t="n"/>
      <c r="I12" s="4" t="n"/>
      <c r="J12" s="4" t="n"/>
      <c r="K12" s="9" t="n">
        <v>0</v>
      </c>
      <c r="L12" s="4" t="n"/>
      <c r="M12" s="4" t="n"/>
      <c r="N12" s="4" t="n"/>
      <c r="O12" s="4" t="n"/>
      <c r="P12" s="9" t="n">
        <v>0</v>
      </c>
      <c r="Q12" s="4" t="n"/>
      <c r="R12" s="4" t="n"/>
      <c r="S12" s="4" t="n"/>
      <c r="T12" s="4" t="n"/>
      <c r="U12" s="9" t="n">
        <v>0</v>
      </c>
      <c r="V12" s="4" t="n"/>
      <c r="W12" s="4" t="n"/>
      <c r="X12" s="4" t="n"/>
      <c r="Y12" s="4" t="n"/>
      <c r="Z12" s="9" t="n">
        <v>0</v>
      </c>
      <c r="AA12" s="10">
        <f>AVERAGE(K12,P12,U12,Z12)</f>
        <v/>
      </c>
      <c r="AB12" s="11">
        <f>COUNTIF(G12:Z12,"P")</f>
        <v/>
      </c>
      <c r="AC12" s="12">
        <f>COUNTIF(G12:Z12,"L")</f>
        <v/>
      </c>
      <c r="AD12" s="13">
        <f>COUNTIF(G12:Z12,"A")</f>
        <v/>
      </c>
      <c r="AE12" s="14">
        <f>AB12+AC12</f>
        <v/>
      </c>
      <c r="AF12" s="8">
        <f>AE12/16*10</f>
        <v/>
      </c>
      <c r="AG12" s="8">
        <f>AA12</f>
        <v/>
      </c>
      <c r="AH12" s="8" t="n">
        <v>20</v>
      </c>
      <c r="AI12" s="5" t="n"/>
    </row>
    <row r="13">
      <c r="A13" s="50" t="n"/>
      <c r="B13" s="4" t="n">
        <v>5</v>
      </c>
      <c r="C13" s="4" t="n">
        <v>5</v>
      </c>
      <c r="D13" s="7" t="inlineStr">
        <is>
          <t>حياة ناصر جمعه راشد الكعبي</t>
        </is>
      </c>
      <c r="E13" s="15" t="inlineStr">
        <is>
          <t>NA</t>
        </is>
      </c>
      <c r="F13" s="15" t="inlineStr">
        <is>
          <t>NA</t>
        </is>
      </c>
      <c r="G13" s="4" t="n"/>
      <c r="H13" s="4" t="n"/>
      <c r="I13" s="4" t="n"/>
      <c r="J13" s="4" t="n"/>
      <c r="K13" s="9" t="n">
        <v>0</v>
      </c>
      <c r="L13" s="4" t="n"/>
      <c r="M13" s="4" t="n"/>
      <c r="N13" s="4" t="n"/>
      <c r="O13" s="4" t="n"/>
      <c r="P13" s="9" t="n">
        <v>0</v>
      </c>
      <c r="Q13" s="4" t="n"/>
      <c r="R13" s="4" t="n"/>
      <c r="S13" s="4" t="n"/>
      <c r="T13" s="4" t="n"/>
      <c r="U13" s="9" t="n">
        <v>0</v>
      </c>
      <c r="V13" s="4" t="n"/>
      <c r="W13" s="4" t="n"/>
      <c r="X13" s="4" t="n"/>
      <c r="Y13" s="4" t="n"/>
      <c r="Z13" s="9" t="n">
        <v>0</v>
      </c>
      <c r="AA13" s="10">
        <f>AVERAGE(K13,P13,U13,Z13)</f>
        <v/>
      </c>
      <c r="AB13" s="11">
        <f>COUNTIF(G13:Z13,"P")</f>
        <v/>
      </c>
      <c r="AC13" s="12">
        <f>COUNTIF(G13:Z13,"L")</f>
        <v/>
      </c>
      <c r="AD13" s="13">
        <f>COUNTIF(G13:Z13,"A")</f>
        <v/>
      </c>
      <c r="AE13" s="14">
        <f>AB13+AC13</f>
        <v/>
      </c>
      <c r="AF13" s="8">
        <f>AE13/16*10</f>
        <v/>
      </c>
      <c r="AG13" s="8">
        <f>AA13</f>
        <v/>
      </c>
      <c r="AH13" s="8" t="n">
        <v>19</v>
      </c>
      <c r="AI13" s="5" t="n"/>
    </row>
    <row r="14">
      <c r="A14" s="50" t="n"/>
      <c r="B14" s="4" t="n">
        <v>6</v>
      </c>
      <c r="C14" s="4" t="n">
        <v>6</v>
      </c>
      <c r="D14" s="7" t="inlineStr">
        <is>
          <t>سلمان سالم احمد سالم المنصوري</t>
        </is>
      </c>
      <c r="E14" s="15" t="inlineStr">
        <is>
          <t>NA</t>
        </is>
      </c>
      <c r="F14" s="15" t="inlineStr">
        <is>
          <t>NA</t>
        </is>
      </c>
      <c r="G14" s="4" t="n"/>
      <c r="H14" s="4" t="n"/>
      <c r="I14" s="4" t="n"/>
      <c r="J14" s="4" t="n"/>
      <c r="K14" s="9" t="n">
        <v>0</v>
      </c>
      <c r="L14" s="4" t="n"/>
      <c r="M14" s="4" t="n"/>
      <c r="N14" s="4" t="n"/>
      <c r="O14" s="4" t="n"/>
      <c r="P14" s="9" t="n">
        <v>0</v>
      </c>
      <c r="Q14" s="4" t="n"/>
      <c r="R14" s="4" t="n"/>
      <c r="S14" s="4" t="n"/>
      <c r="T14" s="4" t="n"/>
      <c r="U14" s="9" t="n">
        <v>0</v>
      </c>
      <c r="V14" s="4" t="n"/>
      <c r="W14" s="4" t="n"/>
      <c r="X14" s="4" t="n"/>
      <c r="Y14" s="4" t="n"/>
      <c r="Z14" s="9" t="n">
        <v>0</v>
      </c>
      <c r="AA14" s="10">
        <f>AVERAGE(K14,P14,U14,Z14)</f>
        <v/>
      </c>
      <c r="AB14" s="11">
        <f>COUNTIF(G14:Z14,"P")</f>
        <v/>
      </c>
      <c r="AC14" s="12">
        <f>COUNTIF(G14:Z14,"L")</f>
        <v/>
      </c>
      <c r="AD14" s="13">
        <f>COUNTIF(G14:Z14,"A")</f>
        <v/>
      </c>
      <c r="AE14" s="14">
        <f>AB14+AC14</f>
        <v/>
      </c>
      <c r="AF14" s="8">
        <f>AE14/16*10</f>
        <v/>
      </c>
      <c r="AG14" s="8">
        <f>AA14</f>
        <v/>
      </c>
      <c r="AH14" s="8" t="n">
        <v>19</v>
      </c>
      <c r="AI14" s="5" t="n"/>
    </row>
    <row r="15">
      <c r="A15" s="50" t="n"/>
      <c r="B15" s="4" t="n">
        <v>7</v>
      </c>
      <c r="C15" s="4" t="n">
        <v>7</v>
      </c>
      <c r="D15" s="7" t="inlineStr">
        <is>
          <t>شيخة هداف رضوان عيضة المنهالي</t>
        </is>
      </c>
      <c r="E15" s="15" t="inlineStr">
        <is>
          <t>NA</t>
        </is>
      </c>
      <c r="F15" s="15" t="inlineStr">
        <is>
          <t>NA</t>
        </is>
      </c>
      <c r="G15" s="4" t="n"/>
      <c r="H15" s="4" t="n"/>
      <c r="I15" s="4" t="n"/>
      <c r="J15" s="4" t="n"/>
      <c r="K15" s="9" t="n">
        <v>0</v>
      </c>
      <c r="L15" s="4" t="n"/>
      <c r="M15" s="4" t="n"/>
      <c r="N15" s="4" t="n"/>
      <c r="O15" s="4" t="n"/>
      <c r="P15" s="9" t="n">
        <v>0</v>
      </c>
      <c r="Q15" s="4" t="n"/>
      <c r="R15" s="4" t="n"/>
      <c r="S15" s="4" t="n"/>
      <c r="T15" s="4" t="n"/>
      <c r="U15" s="9" t="n">
        <v>0</v>
      </c>
      <c r="V15" s="4" t="n"/>
      <c r="W15" s="4" t="n"/>
      <c r="X15" s="4" t="n"/>
      <c r="Y15" s="4" t="n"/>
      <c r="Z15" s="9" t="n">
        <v>0</v>
      </c>
      <c r="AA15" s="10">
        <f>AVERAGE(K15,P15,U15,Z15)</f>
        <v/>
      </c>
      <c r="AB15" s="11">
        <f>COUNTIF(G15:Z15,"P")</f>
        <v/>
      </c>
      <c r="AC15" s="12">
        <f>COUNTIF(G15:Z15,"L")</f>
        <v/>
      </c>
      <c r="AD15" s="13">
        <f>COUNTIF(G15:Z15,"A")</f>
        <v/>
      </c>
      <c r="AE15" s="14">
        <f>AB15+AC15</f>
        <v/>
      </c>
      <c r="AF15" s="8">
        <f>AE15/16*10</f>
        <v/>
      </c>
      <c r="AG15" s="8">
        <f>AA15</f>
        <v/>
      </c>
      <c r="AH15" s="8" t="n">
        <v>20</v>
      </c>
      <c r="AI15" s="5" t="n"/>
    </row>
    <row r="16">
      <c r="A16" s="50" t="n"/>
      <c r="B16" s="4" t="n">
        <v>8</v>
      </c>
      <c r="C16" s="4" t="n">
        <v>8</v>
      </c>
      <c r="D16" s="7" t="inlineStr">
        <is>
          <t>عائشه منصور محمد احمد الحضرمى</t>
        </is>
      </c>
      <c r="E16" s="15" t="inlineStr">
        <is>
          <t>NA</t>
        </is>
      </c>
      <c r="F16" s="15" t="inlineStr">
        <is>
          <t>NA</t>
        </is>
      </c>
      <c r="G16" s="4" t="n"/>
      <c r="H16" s="4" t="n"/>
      <c r="I16" s="4" t="n"/>
      <c r="J16" s="4" t="n"/>
      <c r="K16" s="9" t="n">
        <v>0</v>
      </c>
      <c r="L16" s="4" t="n"/>
      <c r="M16" s="4" t="n"/>
      <c r="N16" s="4" t="n"/>
      <c r="O16" s="4" t="n"/>
      <c r="P16" s="9" t="n">
        <v>0</v>
      </c>
      <c r="Q16" s="4" t="n"/>
      <c r="R16" s="4" t="n"/>
      <c r="S16" s="4" t="n"/>
      <c r="T16" s="4" t="n"/>
      <c r="U16" s="9" t="n">
        <v>0</v>
      </c>
      <c r="V16" s="4" t="n"/>
      <c r="W16" s="4" t="n"/>
      <c r="X16" s="4" t="n"/>
      <c r="Y16" s="4" t="n"/>
      <c r="Z16" s="9" t="n">
        <v>0</v>
      </c>
      <c r="AA16" s="10">
        <f>AVERAGE(K16,P16,U16,Z16)</f>
        <v/>
      </c>
      <c r="AB16" s="11">
        <f>COUNTIF(G16:Z16,"P")</f>
        <v/>
      </c>
      <c r="AC16" s="12">
        <f>COUNTIF(G16:Z16,"L")</f>
        <v/>
      </c>
      <c r="AD16" s="13">
        <f>COUNTIF(G16:Z16,"A")</f>
        <v/>
      </c>
      <c r="AE16" s="14">
        <f>AB16+AC16</f>
        <v/>
      </c>
      <c r="AF16" s="8">
        <f>AE16/16*10</f>
        <v/>
      </c>
      <c r="AG16" s="8">
        <f>AA16</f>
        <v/>
      </c>
      <c r="AH16" s="8" t="n">
        <v>18</v>
      </c>
      <c r="AI16" s="5" t="n"/>
    </row>
    <row r="17">
      <c r="A17" s="50" t="n"/>
      <c r="B17" s="4" t="n">
        <v>9</v>
      </c>
      <c r="C17" s="4" t="n">
        <v>9</v>
      </c>
      <c r="D17" s="7" t="inlineStr">
        <is>
          <t>عبدالله بدر حسين عيسى</t>
        </is>
      </c>
      <c r="E17" s="15" t="inlineStr">
        <is>
          <t>NA</t>
        </is>
      </c>
      <c r="F17" s="15" t="inlineStr">
        <is>
          <t>NA</t>
        </is>
      </c>
      <c r="G17" s="4" t="n"/>
      <c r="H17" s="4" t="n"/>
      <c r="I17" s="4" t="n"/>
      <c r="J17" s="4" t="n"/>
      <c r="K17" s="9" t="n">
        <v>0</v>
      </c>
      <c r="L17" s="4" t="n"/>
      <c r="M17" s="4" t="n"/>
      <c r="N17" s="4" t="n"/>
      <c r="O17" s="4" t="n"/>
      <c r="P17" s="9" t="n">
        <v>0</v>
      </c>
      <c r="Q17" s="4" t="n"/>
      <c r="R17" s="4" t="n"/>
      <c r="S17" s="4" t="n"/>
      <c r="T17" s="4" t="n"/>
      <c r="U17" s="9" t="n">
        <v>0</v>
      </c>
      <c r="V17" s="4" t="n"/>
      <c r="W17" s="4" t="n"/>
      <c r="X17" s="4" t="n"/>
      <c r="Y17" s="4" t="n"/>
      <c r="Z17" s="9" t="n">
        <v>0</v>
      </c>
      <c r="AA17" s="10">
        <f>AVERAGE(K17,P17,U17,Z17)</f>
        <v/>
      </c>
      <c r="AB17" s="11">
        <f>COUNTIF(G17:Z17,"P")</f>
        <v/>
      </c>
      <c r="AC17" s="12">
        <f>COUNTIF(G17:Z17,"L")</f>
        <v/>
      </c>
      <c r="AD17" s="13">
        <f>COUNTIF(G17:Z17,"A")</f>
        <v/>
      </c>
      <c r="AE17" s="14">
        <f>AB17+AC17</f>
        <v/>
      </c>
      <c r="AF17" s="8">
        <f>AE17/16*10</f>
        <v/>
      </c>
      <c r="AG17" s="8">
        <f>AA17</f>
        <v/>
      </c>
      <c r="AH17" s="8" t="n">
        <v>18</v>
      </c>
      <c r="AI17" s="5" t="n"/>
    </row>
    <row r="18">
      <c r="A18" s="50" t="n"/>
      <c r="B18" s="4" t="n">
        <v>10</v>
      </c>
      <c r="C18" s="4" t="n">
        <v>10</v>
      </c>
      <c r="D18" s="7" t="inlineStr">
        <is>
          <t>عبدالله نوح قاسم جان محمد البلوشى</t>
        </is>
      </c>
      <c r="E18" s="15" t="inlineStr">
        <is>
          <t>NA</t>
        </is>
      </c>
      <c r="F18" s="15" t="inlineStr">
        <is>
          <t>NA</t>
        </is>
      </c>
      <c r="G18" s="4" t="n"/>
      <c r="H18" s="4" t="n"/>
      <c r="I18" s="4" t="n"/>
      <c r="J18" s="4" t="n"/>
      <c r="K18" s="9" t="n">
        <v>0</v>
      </c>
      <c r="L18" s="4" t="n"/>
      <c r="M18" s="4" t="n"/>
      <c r="N18" s="4" t="n"/>
      <c r="O18" s="4" t="n"/>
      <c r="P18" s="9" t="n">
        <v>0</v>
      </c>
      <c r="Q18" s="4" t="n"/>
      <c r="R18" s="4" t="n"/>
      <c r="S18" s="4" t="n"/>
      <c r="T18" s="4" t="n"/>
      <c r="U18" s="9" t="n">
        <v>0</v>
      </c>
      <c r="V18" s="4" t="n"/>
      <c r="W18" s="4" t="n"/>
      <c r="X18" s="4" t="n"/>
      <c r="Y18" s="4" t="n"/>
      <c r="Z18" s="9" t="n">
        <v>0</v>
      </c>
      <c r="AA18" s="10">
        <f>AVERAGE(K18,P18,U18,Z18)</f>
        <v/>
      </c>
      <c r="AB18" s="11">
        <f>COUNTIF(G18:Z18,"P")</f>
        <v/>
      </c>
      <c r="AC18" s="12">
        <f>COUNTIF(G18:Z18,"L")</f>
        <v/>
      </c>
      <c r="AD18" s="13">
        <f>COUNTIF(G18:Z18,"A")</f>
        <v/>
      </c>
      <c r="AE18" s="14">
        <f>AB18+AC18</f>
        <v/>
      </c>
      <c r="AF18" s="8">
        <f>AE18/16*10</f>
        <v/>
      </c>
      <c r="AG18" s="8">
        <f>AA18</f>
        <v/>
      </c>
      <c r="AH18" s="8" t="n">
        <v>19</v>
      </c>
      <c r="AI18" s="5" t="n"/>
    </row>
    <row r="19">
      <c r="A19" s="50" t="n"/>
      <c r="B19" s="4" t="n">
        <v>11</v>
      </c>
      <c r="C19" s="4" t="n">
        <v>11</v>
      </c>
      <c r="D19" s="7" t="inlineStr">
        <is>
          <t>فاطمه محمد سعيد سالم الشامسي</t>
        </is>
      </c>
      <c r="E19" s="15" t="inlineStr">
        <is>
          <t>NA</t>
        </is>
      </c>
      <c r="F19" s="15" t="inlineStr">
        <is>
          <t>NA</t>
        </is>
      </c>
      <c r="G19" s="4" t="n"/>
      <c r="H19" s="4" t="n"/>
      <c r="I19" s="4" t="n"/>
      <c r="J19" s="4" t="n"/>
      <c r="K19" s="9" t="n">
        <v>0</v>
      </c>
      <c r="L19" s="4" t="n"/>
      <c r="M19" s="4" t="n"/>
      <c r="N19" s="4" t="n"/>
      <c r="O19" s="4" t="n"/>
      <c r="P19" s="9" t="n">
        <v>0</v>
      </c>
      <c r="Q19" s="4" t="n"/>
      <c r="R19" s="4" t="n"/>
      <c r="S19" s="4" t="n"/>
      <c r="T19" s="4" t="n"/>
      <c r="U19" s="9" t="n">
        <v>0</v>
      </c>
      <c r="V19" s="4" t="n"/>
      <c r="W19" s="4" t="n"/>
      <c r="X19" s="4" t="n"/>
      <c r="Y19" s="4" t="n"/>
      <c r="Z19" s="9" t="n">
        <v>0</v>
      </c>
      <c r="AA19" s="10">
        <f>AVERAGE(K19,P19,U19,Z19)</f>
        <v/>
      </c>
      <c r="AB19" s="11">
        <f>COUNTIF(G19:Z19,"P")</f>
        <v/>
      </c>
      <c r="AC19" s="12">
        <f>COUNTIF(G19:Z19,"L")</f>
        <v/>
      </c>
      <c r="AD19" s="13">
        <f>COUNTIF(G19:Z19,"A")</f>
        <v/>
      </c>
      <c r="AE19" s="14">
        <f>AB19+AC19</f>
        <v/>
      </c>
      <c r="AF19" s="8">
        <f>AE19/16*10</f>
        <v/>
      </c>
      <c r="AG19" s="8">
        <f>AA19</f>
        <v/>
      </c>
      <c r="AH19" s="8" t="n">
        <v>20</v>
      </c>
      <c r="AI19" s="5" t="n"/>
    </row>
    <row r="20">
      <c r="A20" s="50" t="n"/>
      <c r="B20" s="4" t="n">
        <v>12</v>
      </c>
      <c r="C20" s="4" t="n">
        <v>12</v>
      </c>
      <c r="D20" s="7" t="inlineStr">
        <is>
          <t>مثايل خالد ناصر راشد الساعدي</t>
        </is>
      </c>
      <c r="E20" s="15" t="inlineStr">
        <is>
          <t>NA</t>
        </is>
      </c>
      <c r="F20" s="15" t="inlineStr">
        <is>
          <t>NA</t>
        </is>
      </c>
      <c r="G20" s="4" t="n"/>
      <c r="H20" s="4" t="n"/>
      <c r="I20" s="4" t="n"/>
      <c r="J20" s="4" t="n"/>
      <c r="K20" s="9" t="n">
        <v>0</v>
      </c>
      <c r="L20" s="4" t="n"/>
      <c r="M20" s="4" t="n"/>
      <c r="N20" s="4" t="n"/>
      <c r="O20" s="4" t="n"/>
      <c r="P20" s="9" t="n">
        <v>0</v>
      </c>
      <c r="Q20" s="4" t="n"/>
      <c r="R20" s="4" t="n"/>
      <c r="S20" s="4" t="n"/>
      <c r="T20" s="4" t="n"/>
      <c r="U20" s="9" t="n">
        <v>0</v>
      </c>
      <c r="V20" s="4" t="n"/>
      <c r="W20" s="4" t="n"/>
      <c r="X20" s="4" t="n"/>
      <c r="Y20" s="4" t="n"/>
      <c r="Z20" s="9" t="n">
        <v>0</v>
      </c>
      <c r="AA20" s="10">
        <f>AVERAGE(K20,P20,U20,Z20)</f>
        <v/>
      </c>
      <c r="AB20" s="11">
        <f>COUNTIF(G20:Z20,"P")</f>
        <v/>
      </c>
      <c r="AC20" s="12">
        <f>COUNTIF(G20:Z20,"L")</f>
        <v/>
      </c>
      <c r="AD20" s="13">
        <f>COUNTIF(G20:Z20,"A")</f>
        <v/>
      </c>
      <c r="AE20" s="14">
        <f>AB20+AC20</f>
        <v/>
      </c>
      <c r="AF20" s="8">
        <f>AE20/16*10</f>
        <v/>
      </c>
      <c r="AG20" s="8">
        <f>AA20</f>
        <v/>
      </c>
      <c r="AH20" s="8" t="n">
        <v>19</v>
      </c>
      <c r="AI20" s="5" t="n"/>
    </row>
    <row r="21">
      <c r="A21" s="50" t="n"/>
      <c r="B21" s="4" t="n">
        <v>13</v>
      </c>
      <c r="C21" s="4" t="n">
        <v>13</v>
      </c>
      <c r="D21" s="7" t="inlineStr">
        <is>
          <t>محمد خالد سالم سلطان الكعبى</t>
        </is>
      </c>
      <c r="E21" s="15" t="inlineStr">
        <is>
          <t>NA</t>
        </is>
      </c>
      <c r="F21" s="15" t="inlineStr">
        <is>
          <t>NA</t>
        </is>
      </c>
      <c r="G21" s="4" t="n"/>
      <c r="H21" s="4" t="n"/>
      <c r="I21" s="4" t="n"/>
      <c r="J21" s="4" t="n"/>
      <c r="K21" s="9" t="n">
        <v>0</v>
      </c>
      <c r="L21" s="4" t="n"/>
      <c r="M21" s="4" t="n"/>
      <c r="N21" s="4" t="n"/>
      <c r="O21" s="4" t="n"/>
      <c r="P21" s="9" t="n">
        <v>0</v>
      </c>
      <c r="Q21" s="4" t="n"/>
      <c r="R21" s="4" t="n"/>
      <c r="S21" s="4" t="n"/>
      <c r="T21" s="4" t="n"/>
      <c r="U21" s="9" t="n">
        <v>0</v>
      </c>
      <c r="V21" s="4" t="n"/>
      <c r="W21" s="4" t="n"/>
      <c r="X21" s="4" t="n"/>
      <c r="Y21" s="4" t="n"/>
      <c r="Z21" s="9" t="n">
        <v>0</v>
      </c>
      <c r="AA21" s="10">
        <f>AVERAGE(K21,P21,U21,Z21)</f>
        <v/>
      </c>
      <c r="AB21" s="11">
        <f>COUNTIF(G21:Z21,"P")</f>
        <v/>
      </c>
      <c r="AC21" s="12">
        <f>COUNTIF(G21:Z21,"L")</f>
        <v/>
      </c>
      <c r="AD21" s="13">
        <f>COUNTIF(G21:Z21,"A")</f>
        <v/>
      </c>
      <c r="AE21" s="14">
        <f>AB21+AC21</f>
        <v/>
      </c>
      <c r="AF21" s="8">
        <f>AE21/16*10</f>
        <v/>
      </c>
      <c r="AG21" s="8">
        <f>AA21</f>
        <v/>
      </c>
      <c r="AH21" s="8" t="n">
        <v>18</v>
      </c>
      <c r="AI21" s="5" t="n"/>
    </row>
    <row r="22">
      <c r="A22" s="50" t="n"/>
      <c r="B22" s="4" t="n">
        <v>14</v>
      </c>
      <c r="C22" s="4" t="n">
        <v>14</v>
      </c>
      <c r="D22" s="7" t="inlineStr">
        <is>
          <t>محمد صقر محمد بجير العامري</t>
        </is>
      </c>
      <c r="E22" s="15" t="inlineStr">
        <is>
          <t>NA</t>
        </is>
      </c>
      <c r="F22" s="15" t="inlineStr">
        <is>
          <t>NA</t>
        </is>
      </c>
      <c r="G22" s="4" t="n"/>
      <c r="H22" s="4" t="n"/>
      <c r="I22" s="4" t="n"/>
      <c r="J22" s="4" t="n"/>
      <c r="K22" s="9" t="n">
        <v>0</v>
      </c>
      <c r="L22" s="4" t="n"/>
      <c r="M22" s="4" t="n"/>
      <c r="N22" s="4" t="n"/>
      <c r="O22" s="4" t="n"/>
      <c r="P22" s="9" t="n">
        <v>0</v>
      </c>
      <c r="Q22" s="4" t="n"/>
      <c r="R22" s="4" t="n"/>
      <c r="S22" s="4" t="n"/>
      <c r="T22" s="4" t="n"/>
      <c r="U22" s="9" t="n">
        <v>0</v>
      </c>
      <c r="V22" s="4" t="n"/>
      <c r="W22" s="4" t="n"/>
      <c r="X22" s="4" t="n"/>
      <c r="Y22" s="4" t="n"/>
      <c r="Z22" s="9" t="n">
        <v>0</v>
      </c>
      <c r="AA22" s="10">
        <f>AVERAGE(K22,P22,U22,Z22)</f>
        <v/>
      </c>
      <c r="AB22" s="11">
        <f>COUNTIF(G22:Z22,"P")</f>
        <v/>
      </c>
      <c r="AC22" s="12">
        <f>COUNTIF(G22:Z22,"L")</f>
        <v/>
      </c>
      <c r="AD22" s="13">
        <f>COUNTIF(G22:Z22,"A")</f>
        <v/>
      </c>
      <c r="AE22" s="14">
        <f>AB22+AC22</f>
        <v/>
      </c>
      <c r="AF22" s="8">
        <f>AE22/16*10</f>
        <v/>
      </c>
      <c r="AG22" s="8">
        <f>AA22</f>
        <v/>
      </c>
      <c r="AH22" s="8" t="n">
        <v>20</v>
      </c>
      <c r="AI22" s="5" t="n"/>
    </row>
    <row r="23">
      <c r="A23" s="50" t="n"/>
      <c r="B23" s="4" t="n">
        <v>15</v>
      </c>
      <c r="C23" s="4" t="n">
        <v>15</v>
      </c>
      <c r="D23" s="7" t="inlineStr">
        <is>
          <t>محمد عوض هادي فلاح الاحبابي</t>
        </is>
      </c>
      <c r="E23" s="15" t="inlineStr">
        <is>
          <t>NA</t>
        </is>
      </c>
      <c r="F23" s="15" t="inlineStr">
        <is>
          <t>NA</t>
        </is>
      </c>
      <c r="G23" s="4" t="n"/>
      <c r="H23" s="4" t="n"/>
      <c r="I23" s="4" t="n"/>
      <c r="J23" s="4" t="n"/>
      <c r="K23" s="9" t="n">
        <v>0</v>
      </c>
      <c r="L23" s="4" t="n"/>
      <c r="M23" s="4" t="n"/>
      <c r="N23" s="4" t="n"/>
      <c r="O23" s="4" t="n"/>
      <c r="P23" s="9" t="n">
        <v>0</v>
      </c>
      <c r="Q23" s="4" t="n"/>
      <c r="R23" s="4" t="n"/>
      <c r="S23" s="4" t="n"/>
      <c r="T23" s="4" t="n"/>
      <c r="U23" s="9" t="n">
        <v>0</v>
      </c>
      <c r="V23" s="4" t="n"/>
      <c r="W23" s="4" t="n"/>
      <c r="X23" s="4" t="n"/>
      <c r="Y23" s="4" t="n"/>
      <c r="Z23" s="9" t="n">
        <v>0</v>
      </c>
      <c r="AA23" s="10">
        <f>AVERAGE(K23,P23,U23,Z23)</f>
        <v/>
      </c>
      <c r="AB23" s="11">
        <f>COUNTIF(G23:Z23,"P")</f>
        <v/>
      </c>
      <c r="AC23" s="12">
        <f>COUNTIF(G23:Z23,"L")</f>
        <v/>
      </c>
      <c r="AD23" s="13">
        <f>COUNTIF(G23:Z23,"A")</f>
        <v/>
      </c>
      <c r="AE23" s="14">
        <f>AB23+AC23</f>
        <v/>
      </c>
      <c r="AF23" s="8">
        <f>AE23/16*10</f>
        <v/>
      </c>
      <c r="AG23" s="8">
        <f>AA23</f>
        <v/>
      </c>
      <c r="AH23" s="8" t="n">
        <v>20</v>
      </c>
      <c r="AI23" s="5" t="n"/>
    </row>
    <row r="24">
      <c r="A24" s="50" t="n"/>
      <c r="B24" s="4" t="n">
        <v>16</v>
      </c>
      <c r="C24" s="4" t="n">
        <v>16</v>
      </c>
      <c r="D24" s="7" t="inlineStr">
        <is>
          <t>مفرح سعد مسفر عبدالرحمن الأحبابي</t>
        </is>
      </c>
      <c r="E24" s="15" t="inlineStr">
        <is>
          <t>NA</t>
        </is>
      </c>
      <c r="F24" s="15" t="inlineStr">
        <is>
          <t>NA</t>
        </is>
      </c>
      <c r="G24" s="4" t="n"/>
      <c r="H24" s="4" t="n"/>
      <c r="I24" s="4" t="n"/>
      <c r="J24" s="4" t="n"/>
      <c r="K24" s="9" t="n">
        <v>0</v>
      </c>
      <c r="L24" s="4" t="n"/>
      <c r="M24" s="4" t="n"/>
      <c r="N24" s="4" t="n"/>
      <c r="O24" s="4" t="n"/>
      <c r="P24" s="9" t="n">
        <v>0</v>
      </c>
      <c r="Q24" s="4" t="n"/>
      <c r="R24" s="4" t="n"/>
      <c r="S24" s="4" t="n"/>
      <c r="T24" s="4" t="n"/>
      <c r="U24" s="9" t="n">
        <v>0</v>
      </c>
      <c r="V24" s="4" t="n"/>
      <c r="W24" s="4" t="n"/>
      <c r="X24" s="4" t="n"/>
      <c r="Y24" s="4" t="n"/>
      <c r="Z24" s="9" t="n">
        <v>0</v>
      </c>
      <c r="AA24" s="10">
        <f>AVERAGE(K24,P24,U24,Z24)</f>
        <v/>
      </c>
      <c r="AB24" s="11">
        <f>COUNTIF(G24:Z24,"P")</f>
        <v/>
      </c>
      <c r="AC24" s="12">
        <f>COUNTIF(G24:Z24,"L")</f>
        <v/>
      </c>
      <c r="AD24" s="13">
        <f>COUNTIF(G24:Z24,"A")</f>
        <v/>
      </c>
      <c r="AE24" s="14">
        <f>AB24+AC24</f>
        <v/>
      </c>
      <c r="AF24" s="8">
        <f>AE24/16*10</f>
        <v/>
      </c>
      <c r="AG24" s="8">
        <f>AA24</f>
        <v/>
      </c>
      <c r="AH24" s="8" t="n">
        <v>18</v>
      </c>
      <c r="AI24" s="5" t="n"/>
    </row>
    <row r="25">
      <c r="A25" s="50" t="n"/>
      <c r="B25" s="4" t="n">
        <v>17</v>
      </c>
      <c r="C25" s="4" t="n">
        <v>17</v>
      </c>
      <c r="D25" s="7" t="inlineStr">
        <is>
          <t>ناصر صالح سليمان مبارك العامري</t>
        </is>
      </c>
      <c r="E25" s="15" t="inlineStr">
        <is>
          <t>NA</t>
        </is>
      </c>
      <c r="F25" s="15" t="inlineStr">
        <is>
          <t>NA</t>
        </is>
      </c>
      <c r="G25" s="4" t="n"/>
      <c r="H25" s="4" t="n"/>
      <c r="I25" s="4" t="n"/>
      <c r="J25" s="4" t="n"/>
      <c r="K25" s="9" t="n">
        <v>0</v>
      </c>
      <c r="L25" s="4" t="n"/>
      <c r="M25" s="4" t="n"/>
      <c r="N25" s="4" t="n"/>
      <c r="O25" s="4" t="n"/>
      <c r="P25" s="9" t="n">
        <v>0</v>
      </c>
      <c r="Q25" s="4" t="n"/>
      <c r="R25" s="4" t="n"/>
      <c r="S25" s="4" t="n"/>
      <c r="T25" s="4" t="n"/>
      <c r="U25" s="9" t="n">
        <v>0</v>
      </c>
      <c r="V25" s="4" t="n"/>
      <c r="W25" s="4" t="n"/>
      <c r="X25" s="4" t="n"/>
      <c r="Y25" s="4" t="n"/>
      <c r="Z25" s="9" t="n">
        <v>0</v>
      </c>
      <c r="AA25" s="10">
        <f>AVERAGE(K25,P25,U25,Z25)</f>
        <v/>
      </c>
      <c r="AB25" s="11">
        <f>COUNTIF(G25:Z25,"P")</f>
        <v/>
      </c>
      <c r="AC25" s="12">
        <f>COUNTIF(G25:Z25,"L")</f>
        <v/>
      </c>
      <c r="AD25" s="13">
        <f>COUNTIF(G25:Z25,"A")</f>
        <v/>
      </c>
      <c r="AE25" s="14">
        <f>AB25+AC25</f>
        <v/>
      </c>
      <c r="AF25" s="8">
        <f>AE25/16*10</f>
        <v/>
      </c>
      <c r="AG25" s="8">
        <f>AA25</f>
        <v/>
      </c>
      <c r="AH25" s="8" t="n">
        <v>20</v>
      </c>
      <c r="AI25" s="5" t="n"/>
    </row>
    <row r="26">
      <c r="A26" s="50" t="n"/>
      <c r="B26" s="4" t="n">
        <v>18</v>
      </c>
      <c r="C26" s="4" t="n"/>
      <c r="D26" s="7" t="n"/>
      <c r="E26" s="15" t="inlineStr">
        <is>
          <t>NA</t>
        </is>
      </c>
      <c r="F26" s="15" t="inlineStr">
        <is>
          <t>NA</t>
        </is>
      </c>
      <c r="G26" s="4" t="n"/>
      <c r="H26" s="4" t="n"/>
      <c r="I26" s="4" t="n"/>
      <c r="J26" s="4" t="n"/>
      <c r="K26" s="9" t="n">
        <v>0</v>
      </c>
      <c r="L26" s="4" t="n"/>
      <c r="M26" s="4" t="n"/>
      <c r="N26" s="4" t="n"/>
      <c r="O26" s="4" t="n"/>
      <c r="P26" s="9" t="n">
        <v>0</v>
      </c>
      <c r="Q26" s="4" t="n"/>
      <c r="R26" s="4" t="n"/>
      <c r="S26" s="4" t="n"/>
      <c r="T26" s="4" t="n"/>
      <c r="U26" s="9" t="n">
        <v>0</v>
      </c>
      <c r="V26" s="4" t="n"/>
      <c r="W26" s="4" t="n"/>
      <c r="X26" s="4" t="n"/>
      <c r="Y26" s="4" t="n"/>
      <c r="Z26" s="9" t="n">
        <v>0</v>
      </c>
      <c r="AA26" s="10">
        <f>AVERAGE(K26,P26,U26,Z26)</f>
        <v/>
      </c>
      <c r="AB26" s="11">
        <f>COUNTIF(G26:Z26,"P")</f>
        <v/>
      </c>
      <c r="AC26" s="12">
        <f>COUNTIF(G26:Z26,"L")</f>
        <v/>
      </c>
      <c r="AD26" s="13">
        <f>COUNTIF(G26:Z26,"A")</f>
        <v/>
      </c>
      <c r="AE26" s="14">
        <f>AB26+AC26</f>
        <v/>
      </c>
      <c r="AF26" s="8">
        <f>AE26/16*10</f>
        <v/>
      </c>
      <c r="AG26" s="8">
        <f>AA26</f>
        <v/>
      </c>
      <c r="AH26" s="8" t="n"/>
      <c r="AI26" s="5" t="n"/>
    </row>
    <row r="27">
      <c r="A27" s="50" t="n"/>
      <c r="B27" s="4" t="n">
        <v>19</v>
      </c>
      <c r="C27" s="4" t="n"/>
      <c r="D27" s="7" t="n"/>
      <c r="E27" s="15" t="inlineStr">
        <is>
          <t>NA</t>
        </is>
      </c>
      <c r="F27" s="15" t="inlineStr">
        <is>
          <t>NA</t>
        </is>
      </c>
      <c r="G27" s="4" t="n"/>
      <c r="H27" s="4" t="n"/>
      <c r="I27" s="4" t="n"/>
      <c r="J27" s="4" t="n"/>
      <c r="K27" s="9" t="n">
        <v>0</v>
      </c>
      <c r="L27" s="4" t="n"/>
      <c r="M27" s="4" t="n"/>
      <c r="N27" s="4" t="n"/>
      <c r="O27" s="4" t="n"/>
      <c r="P27" s="9" t="n">
        <v>0</v>
      </c>
      <c r="Q27" s="4" t="n"/>
      <c r="R27" s="4" t="n"/>
      <c r="S27" s="4" t="n"/>
      <c r="T27" s="4" t="n"/>
      <c r="U27" s="9" t="n">
        <v>0</v>
      </c>
      <c r="V27" s="4" t="n"/>
      <c r="W27" s="4" t="n"/>
      <c r="X27" s="4" t="n"/>
      <c r="Y27" s="4" t="n"/>
      <c r="Z27" s="9" t="n">
        <v>0</v>
      </c>
      <c r="AA27" s="10">
        <f>AVERAGE(K27,P27,U27,Z27)</f>
        <v/>
      </c>
      <c r="AB27" s="11">
        <f>COUNTIF(G27:Z27,"P")</f>
        <v/>
      </c>
      <c r="AC27" s="12">
        <f>COUNTIF(G27:Z27,"L")</f>
        <v/>
      </c>
      <c r="AD27" s="13">
        <f>COUNTIF(G27:Z27,"A")</f>
        <v/>
      </c>
      <c r="AE27" s="14">
        <f>AB27+AC27</f>
        <v/>
      </c>
      <c r="AF27" s="8">
        <f>AE27/16*10</f>
        <v/>
      </c>
      <c r="AG27" s="8">
        <f>AA27</f>
        <v/>
      </c>
      <c r="AH27" s="8" t="n"/>
      <c r="AI27" s="5" t="n"/>
    </row>
    <row r="28">
      <c r="A28" s="50" t="n"/>
      <c r="B28" s="4" t="n">
        <v>20</v>
      </c>
      <c r="C28" s="4" t="n"/>
      <c r="D28" s="7" t="n"/>
      <c r="E28" s="15" t="inlineStr">
        <is>
          <t>NA</t>
        </is>
      </c>
      <c r="F28" s="15" t="inlineStr">
        <is>
          <t>NA</t>
        </is>
      </c>
      <c r="G28" s="4" t="n"/>
      <c r="H28" s="4" t="n"/>
      <c r="I28" s="4" t="n"/>
      <c r="J28" s="4" t="n"/>
      <c r="K28" s="9" t="n">
        <v>0</v>
      </c>
      <c r="L28" s="4" t="n"/>
      <c r="M28" s="4" t="n"/>
      <c r="N28" s="4" t="n"/>
      <c r="O28" s="4" t="n"/>
      <c r="P28" s="9" t="n">
        <v>0</v>
      </c>
      <c r="Q28" s="4" t="n"/>
      <c r="R28" s="4" t="n"/>
      <c r="S28" s="4" t="n"/>
      <c r="T28" s="4" t="n"/>
      <c r="U28" s="9" t="n">
        <v>0</v>
      </c>
      <c r="V28" s="4" t="n"/>
      <c r="W28" s="4" t="n"/>
      <c r="X28" s="4" t="n"/>
      <c r="Y28" s="4" t="n"/>
      <c r="Z28" s="9" t="n">
        <v>0</v>
      </c>
      <c r="AA28" s="10">
        <f>AVERAGE(K28,P28,U28,Z28)</f>
        <v/>
      </c>
      <c r="AB28" s="11">
        <f>COUNTIF(G28:Z28,"P")</f>
        <v/>
      </c>
      <c r="AC28" s="12">
        <f>COUNTIF(G28:Z28,"L")</f>
        <v/>
      </c>
      <c r="AD28" s="13">
        <f>COUNTIF(G28:Z28,"A")</f>
        <v/>
      </c>
      <c r="AE28" s="14">
        <f>AB28+AC28</f>
        <v/>
      </c>
      <c r="AF28" s="8">
        <f>AE28/16*10</f>
        <v/>
      </c>
      <c r="AG28" s="8">
        <f>AA28</f>
        <v/>
      </c>
      <c r="AH28" s="8" t="n"/>
      <c r="AI28" s="5" t="n"/>
    </row>
    <row r="29">
      <c r="A29" s="50" t="n"/>
      <c r="B29" s="4" t="n">
        <v>21</v>
      </c>
      <c r="C29" s="4" t="n"/>
      <c r="D29" s="7" t="n"/>
      <c r="E29" s="15" t="inlineStr">
        <is>
          <t>NA</t>
        </is>
      </c>
      <c r="F29" s="15" t="inlineStr">
        <is>
          <t>NA</t>
        </is>
      </c>
      <c r="G29" s="4" t="n"/>
      <c r="H29" s="4" t="n"/>
      <c r="I29" s="4" t="n"/>
      <c r="J29" s="4" t="n"/>
      <c r="K29" s="9" t="n">
        <v>0</v>
      </c>
      <c r="L29" s="4" t="n"/>
      <c r="M29" s="4" t="n"/>
      <c r="N29" s="4" t="n"/>
      <c r="O29" s="4" t="n"/>
      <c r="P29" s="9" t="n">
        <v>0</v>
      </c>
      <c r="Q29" s="4" t="n"/>
      <c r="R29" s="4" t="n"/>
      <c r="S29" s="4" t="n"/>
      <c r="T29" s="4" t="n"/>
      <c r="U29" s="9" t="n">
        <v>0</v>
      </c>
      <c r="V29" s="4" t="n"/>
      <c r="W29" s="4" t="n"/>
      <c r="X29" s="4" t="n"/>
      <c r="Y29" s="4" t="n"/>
      <c r="Z29" s="9" t="n">
        <v>0</v>
      </c>
      <c r="AA29" s="10">
        <f>AVERAGE(K29,P29,U29,Z29)</f>
        <v/>
      </c>
      <c r="AB29" s="11">
        <f>COUNTIF(G29:Z29,"P")</f>
        <v/>
      </c>
      <c r="AC29" s="12">
        <f>COUNTIF(G29:Z29,"L")</f>
        <v/>
      </c>
      <c r="AD29" s="13">
        <f>COUNTIF(G29:Z29,"A")</f>
        <v/>
      </c>
      <c r="AE29" s="14">
        <f>AB29+AC29</f>
        <v/>
      </c>
      <c r="AF29" s="8">
        <f>AE29/16*10</f>
        <v/>
      </c>
      <c r="AG29" s="8">
        <f>AA29</f>
        <v/>
      </c>
      <c r="AH29" s="8" t="n"/>
      <c r="AI29" s="5" t="n"/>
    </row>
    <row r="30">
      <c r="A30" s="50" t="n"/>
      <c r="B30" s="4" t="n">
        <v>22</v>
      </c>
      <c r="C30" s="4" t="n"/>
      <c r="D30" s="7" t="n"/>
      <c r="E30" s="15" t="inlineStr">
        <is>
          <t>NA</t>
        </is>
      </c>
      <c r="F30" s="15" t="inlineStr">
        <is>
          <t>NA</t>
        </is>
      </c>
      <c r="G30" s="4" t="n"/>
      <c r="H30" s="4" t="n"/>
      <c r="I30" s="4" t="n"/>
      <c r="J30" s="4" t="n"/>
      <c r="K30" s="9" t="n">
        <v>0</v>
      </c>
      <c r="L30" s="4" t="n"/>
      <c r="M30" s="4" t="n"/>
      <c r="N30" s="4" t="n"/>
      <c r="O30" s="4" t="n"/>
      <c r="P30" s="9" t="n">
        <v>0</v>
      </c>
      <c r="Q30" s="4" t="n"/>
      <c r="R30" s="4" t="n"/>
      <c r="S30" s="4" t="n"/>
      <c r="T30" s="4" t="n"/>
      <c r="U30" s="9" t="n">
        <v>0</v>
      </c>
      <c r="V30" s="4" t="n"/>
      <c r="W30" s="4" t="n"/>
      <c r="X30" s="4" t="n"/>
      <c r="Y30" s="4" t="n"/>
      <c r="Z30" s="9" t="n">
        <v>0</v>
      </c>
      <c r="AA30" s="10">
        <f>AVERAGE(K30,P30,U30,Z30)</f>
        <v/>
      </c>
      <c r="AB30" s="11">
        <f>COUNTIF(G30:Z30,"P")</f>
        <v/>
      </c>
      <c r="AC30" s="12">
        <f>COUNTIF(G30:Z30,"L")</f>
        <v/>
      </c>
      <c r="AD30" s="13">
        <f>COUNTIF(G30:Z30,"A")</f>
        <v/>
      </c>
      <c r="AE30" s="14">
        <f>AB30+AC30</f>
        <v/>
      </c>
      <c r="AF30" s="8">
        <f>AE30/16*10</f>
        <v/>
      </c>
      <c r="AG30" s="8">
        <f>AA30</f>
        <v/>
      </c>
      <c r="AH30" s="8" t="n"/>
      <c r="AI30" s="5" t="n"/>
    </row>
    <row r="31">
      <c r="A31" s="50" t="n"/>
      <c r="B31" s="4" t="n">
        <v>23</v>
      </c>
      <c r="C31" s="4" t="n"/>
      <c r="D31" s="7" t="n"/>
      <c r="E31" s="15" t="inlineStr">
        <is>
          <t>NA</t>
        </is>
      </c>
      <c r="F31" s="15" t="inlineStr">
        <is>
          <t>NA</t>
        </is>
      </c>
      <c r="G31" s="4" t="n"/>
      <c r="H31" s="4" t="n"/>
      <c r="I31" s="4" t="n"/>
      <c r="J31" s="4" t="n"/>
      <c r="K31" s="9" t="n">
        <v>0</v>
      </c>
      <c r="L31" s="4" t="n"/>
      <c r="M31" s="4" t="n"/>
      <c r="N31" s="4" t="n"/>
      <c r="O31" s="4" t="n"/>
      <c r="P31" s="9" t="n">
        <v>0</v>
      </c>
      <c r="Q31" s="4" t="n"/>
      <c r="R31" s="4" t="n"/>
      <c r="S31" s="4" t="n"/>
      <c r="T31" s="4" t="n"/>
      <c r="U31" s="9" t="n">
        <v>0</v>
      </c>
      <c r="V31" s="4" t="n"/>
      <c r="W31" s="4" t="n"/>
      <c r="X31" s="4" t="n"/>
      <c r="Y31" s="4" t="n"/>
      <c r="Z31" s="9" t="n">
        <v>0</v>
      </c>
      <c r="AA31" s="10">
        <f>AVERAGE(K31,P31,U31,Z31)</f>
        <v/>
      </c>
      <c r="AB31" s="11">
        <f>COUNTIF(G31:Z31,"P")</f>
        <v/>
      </c>
      <c r="AC31" s="12">
        <f>COUNTIF(G31:Z31,"L")</f>
        <v/>
      </c>
      <c r="AD31" s="13">
        <f>COUNTIF(G31:Z31,"A")</f>
        <v/>
      </c>
      <c r="AE31" s="14">
        <f>AB31+AC31</f>
        <v/>
      </c>
      <c r="AF31" s="8">
        <f>AE31/16*10</f>
        <v/>
      </c>
      <c r="AG31" s="8">
        <f>AA31</f>
        <v/>
      </c>
      <c r="AH31" s="8" t="n"/>
      <c r="AI31" s="5" t="n"/>
    </row>
    <row r="32">
      <c r="A32" s="50" t="n"/>
      <c r="B32" s="4" t="n">
        <v>24</v>
      </c>
      <c r="C32" s="4" t="n"/>
      <c r="D32" s="7" t="n"/>
      <c r="E32" s="15" t="inlineStr">
        <is>
          <t>NA</t>
        </is>
      </c>
      <c r="F32" s="15" t="inlineStr">
        <is>
          <t>NA</t>
        </is>
      </c>
      <c r="G32" s="4" t="n"/>
      <c r="H32" s="4" t="n"/>
      <c r="I32" s="4" t="n"/>
      <c r="J32" s="4" t="n"/>
      <c r="K32" s="9" t="n">
        <v>0</v>
      </c>
      <c r="L32" s="4" t="n"/>
      <c r="M32" s="4" t="n"/>
      <c r="N32" s="4" t="n"/>
      <c r="O32" s="4" t="n"/>
      <c r="P32" s="9" t="n">
        <v>0</v>
      </c>
      <c r="Q32" s="4" t="n"/>
      <c r="R32" s="4" t="n"/>
      <c r="S32" s="4" t="n"/>
      <c r="T32" s="4" t="n"/>
      <c r="U32" s="9" t="n">
        <v>0</v>
      </c>
      <c r="V32" s="4" t="n"/>
      <c r="W32" s="4" t="n"/>
      <c r="X32" s="4" t="n"/>
      <c r="Y32" s="4" t="n"/>
      <c r="Z32" s="9" t="n">
        <v>0</v>
      </c>
      <c r="AA32" s="10">
        <f>AVERAGE(K32,P32,U32,Z32)</f>
        <v/>
      </c>
      <c r="AB32" s="11">
        <f>COUNTIF(G32:Z32,"P")</f>
        <v/>
      </c>
      <c r="AC32" s="12">
        <f>COUNTIF(G32:Z32,"L")</f>
        <v/>
      </c>
      <c r="AD32" s="13">
        <f>COUNTIF(G32:Z32,"A")</f>
        <v/>
      </c>
      <c r="AE32" s="14">
        <f>AB32+AC32</f>
        <v/>
      </c>
      <c r="AF32" s="8">
        <f>AE32/16*10</f>
        <v/>
      </c>
      <c r="AG32" s="8">
        <f>AA32</f>
        <v/>
      </c>
      <c r="AH32" s="8" t="n"/>
      <c r="AI32" s="5" t="n"/>
    </row>
    <row r="33">
      <c r="A33" s="50" t="n"/>
      <c r="B33" s="4" t="n">
        <v>25</v>
      </c>
      <c r="C33" s="4" t="n"/>
      <c r="D33" s="7" t="n"/>
      <c r="E33" s="15" t="inlineStr">
        <is>
          <t>NA</t>
        </is>
      </c>
      <c r="F33" s="15" t="inlineStr">
        <is>
          <t>NA</t>
        </is>
      </c>
      <c r="G33" s="4" t="n"/>
      <c r="H33" s="4" t="n"/>
      <c r="I33" s="4" t="n"/>
      <c r="J33" s="4" t="n"/>
      <c r="K33" s="9" t="n">
        <v>0</v>
      </c>
      <c r="L33" s="4" t="n"/>
      <c r="M33" s="4" t="n"/>
      <c r="N33" s="4" t="n"/>
      <c r="O33" s="4" t="n"/>
      <c r="P33" s="9" t="n">
        <v>0</v>
      </c>
      <c r="Q33" s="4" t="n"/>
      <c r="R33" s="4" t="n"/>
      <c r="S33" s="4" t="n"/>
      <c r="T33" s="4" t="n"/>
      <c r="U33" s="9" t="n">
        <v>0</v>
      </c>
      <c r="V33" s="4" t="n"/>
      <c r="W33" s="4" t="n"/>
      <c r="X33" s="4" t="n"/>
      <c r="Y33" s="4" t="n"/>
      <c r="Z33" s="9" t="n">
        <v>0</v>
      </c>
      <c r="AA33" s="10">
        <f>AVERAGE(K33,P33,U33,Z33)</f>
        <v/>
      </c>
      <c r="AB33" s="11">
        <f>COUNTIF(G33:Z33,"P")</f>
        <v/>
      </c>
      <c r="AC33" s="12">
        <f>COUNTIF(G33:Z33,"L")</f>
        <v/>
      </c>
      <c r="AD33" s="13">
        <f>COUNTIF(G33:Z33,"A")</f>
        <v/>
      </c>
      <c r="AE33" s="14">
        <f>AB33+AC33</f>
        <v/>
      </c>
      <c r="AF33" s="8">
        <f>AE33/16*10</f>
        <v/>
      </c>
      <c r="AG33" s="8">
        <f>AA33</f>
        <v/>
      </c>
      <c r="AH33" s="8" t="n"/>
      <c r="AI33" s="5" t="n"/>
    </row>
    <row r="34">
      <c r="A34" s="50" t="n"/>
      <c r="B34" s="4" t="n">
        <v>26</v>
      </c>
      <c r="C34" s="4" t="n"/>
      <c r="D34" s="7" t="n"/>
      <c r="E34" s="15" t="inlineStr">
        <is>
          <t>NA</t>
        </is>
      </c>
      <c r="F34" s="15" t="inlineStr">
        <is>
          <t>NA</t>
        </is>
      </c>
      <c r="G34" s="4" t="n"/>
      <c r="H34" s="4" t="n"/>
      <c r="I34" s="4" t="n"/>
      <c r="J34" s="4" t="n"/>
      <c r="K34" s="9" t="n">
        <v>0</v>
      </c>
      <c r="L34" s="4" t="n"/>
      <c r="M34" s="4" t="n"/>
      <c r="N34" s="4" t="n"/>
      <c r="O34" s="4" t="n"/>
      <c r="P34" s="9" t="n">
        <v>0</v>
      </c>
      <c r="Q34" s="4" t="n"/>
      <c r="R34" s="4" t="n"/>
      <c r="S34" s="4" t="n"/>
      <c r="T34" s="4" t="n"/>
      <c r="U34" s="9" t="n">
        <v>0</v>
      </c>
      <c r="V34" s="4" t="n"/>
      <c r="W34" s="4" t="n"/>
      <c r="X34" s="4" t="n"/>
      <c r="Y34" s="4" t="n"/>
      <c r="Z34" s="9" t="n">
        <v>0</v>
      </c>
      <c r="AA34" s="10">
        <f>AVERAGE(K34,P34,U34,Z34)</f>
        <v/>
      </c>
      <c r="AB34" s="11">
        <f>COUNTIF(G34:Z34,"P")</f>
        <v/>
      </c>
      <c r="AC34" s="12">
        <f>COUNTIF(G34:Z34,"L")</f>
        <v/>
      </c>
      <c r="AD34" s="13">
        <f>COUNTIF(G34:Z34,"A")</f>
        <v/>
      </c>
      <c r="AE34" s="14">
        <f>AB34+AC34</f>
        <v/>
      </c>
      <c r="AF34" s="8">
        <f>AE34/16*10</f>
        <v/>
      </c>
      <c r="AG34" s="8">
        <f>AA34</f>
        <v/>
      </c>
      <c r="AH34" s="8" t="n"/>
      <c r="AI34" s="5" t="n"/>
    </row>
    <row r="35">
      <c r="A35" s="50" t="n"/>
      <c r="B35" s="4" t="n">
        <v>27</v>
      </c>
      <c r="C35" s="4" t="n"/>
      <c r="D35" s="7" t="n"/>
      <c r="E35" s="15" t="inlineStr">
        <is>
          <t>NA</t>
        </is>
      </c>
      <c r="F35" s="15" t="inlineStr">
        <is>
          <t>NA</t>
        </is>
      </c>
      <c r="G35" s="4" t="n"/>
      <c r="H35" s="4" t="n"/>
      <c r="I35" s="4" t="n"/>
      <c r="J35" s="4" t="n"/>
      <c r="K35" s="9" t="n">
        <v>0</v>
      </c>
      <c r="L35" s="4" t="n"/>
      <c r="M35" s="4" t="n"/>
      <c r="N35" s="4" t="n"/>
      <c r="O35" s="4" t="n"/>
      <c r="P35" s="9" t="n">
        <v>0</v>
      </c>
      <c r="Q35" s="4" t="n"/>
      <c r="R35" s="4" t="n"/>
      <c r="S35" s="4" t="n"/>
      <c r="T35" s="4" t="n"/>
      <c r="U35" s="9" t="n">
        <v>0</v>
      </c>
      <c r="V35" s="4" t="n"/>
      <c r="W35" s="4" t="n"/>
      <c r="X35" s="4" t="n"/>
      <c r="Y35" s="4" t="n"/>
      <c r="Z35" s="9" t="n">
        <v>0</v>
      </c>
      <c r="AA35" s="10">
        <f>AVERAGE(K35,P35,U35,Z35)</f>
        <v/>
      </c>
      <c r="AB35" s="11">
        <f>COUNTIF(G35:Z35,"P")</f>
        <v/>
      </c>
      <c r="AC35" s="12">
        <f>COUNTIF(G35:Z35,"L")</f>
        <v/>
      </c>
      <c r="AD35" s="13">
        <f>COUNTIF(G35:Z35,"A")</f>
        <v/>
      </c>
      <c r="AE35" s="14">
        <f>AB35+AC35</f>
        <v/>
      </c>
      <c r="AF35" s="8">
        <f>AE35/16*10</f>
        <v/>
      </c>
      <c r="AG35" s="8">
        <f>AA35</f>
        <v/>
      </c>
      <c r="AH35" s="8" t="n"/>
      <c r="AI35" s="5" t="n"/>
    </row>
    <row r="36">
      <c r="A36" s="50" t="n"/>
      <c r="B36" s="4" t="n">
        <v>28</v>
      </c>
      <c r="C36" s="4" t="n"/>
      <c r="D36" s="7" t="n"/>
      <c r="E36" s="15" t="inlineStr">
        <is>
          <t>NA</t>
        </is>
      </c>
      <c r="F36" s="15" t="inlineStr">
        <is>
          <t>NA</t>
        </is>
      </c>
      <c r="G36" s="4" t="n"/>
      <c r="H36" s="4" t="n"/>
      <c r="I36" s="4" t="n"/>
      <c r="J36" s="4" t="n"/>
      <c r="K36" s="9" t="n">
        <v>5</v>
      </c>
      <c r="L36" s="4" t="inlineStr">
        <is>
          <t>p</t>
        </is>
      </c>
      <c r="M36" s="4" t="inlineStr">
        <is>
          <t>p</t>
        </is>
      </c>
      <c r="N36" s="4" t="inlineStr">
        <is>
          <t>p</t>
        </is>
      </c>
      <c r="O36" s="4" t="inlineStr">
        <is>
          <t>p</t>
        </is>
      </c>
      <c r="P36" s="9" t="n">
        <v>5</v>
      </c>
      <c r="Q36" s="4" t="inlineStr">
        <is>
          <t>p</t>
        </is>
      </c>
      <c r="R36" s="4" t="inlineStr">
        <is>
          <t>p</t>
        </is>
      </c>
      <c r="S36" s="4" t="inlineStr">
        <is>
          <t>p</t>
        </is>
      </c>
      <c r="T36" s="4" t="inlineStr">
        <is>
          <t>p</t>
        </is>
      </c>
      <c r="U36" s="9" t="n">
        <v>5</v>
      </c>
      <c r="V36" s="4" t="inlineStr">
        <is>
          <t>a</t>
        </is>
      </c>
      <c r="W36" s="4" t="inlineStr">
        <is>
          <t>a</t>
        </is>
      </c>
      <c r="X36" s="4" t="inlineStr">
        <is>
          <t>a</t>
        </is>
      </c>
      <c r="Y36" s="4" t="inlineStr">
        <is>
          <t>a</t>
        </is>
      </c>
      <c r="Z36" s="9" t="n">
        <v>5</v>
      </c>
      <c r="AA36" s="10">
        <f>AVERAGE(K36,P36,U36,Z36)</f>
        <v/>
      </c>
      <c r="AB36" s="11">
        <f>COUNTIF(G36:Z36,"P")</f>
        <v/>
      </c>
      <c r="AC36" s="12">
        <f>COUNTIF(G36:Z36,"L")</f>
        <v/>
      </c>
      <c r="AD36" s="13">
        <f>COUNTIF(G36:Z36,"A")</f>
        <v/>
      </c>
      <c r="AE36" s="14">
        <f>AB36+AC36</f>
        <v/>
      </c>
      <c r="AF36" s="8">
        <f>AE36/16*10</f>
        <v/>
      </c>
      <c r="AG36" s="8">
        <f>AA36</f>
        <v/>
      </c>
      <c r="AH36" s="8" t="n"/>
      <c r="AI36" s="5" t="n"/>
    </row>
    <row r="37">
      <c r="A37" s="50" t="n"/>
      <c r="B37" s="4" t="n">
        <v>29</v>
      </c>
      <c r="C37" s="4" t="n"/>
      <c r="D37" s="7" t="n"/>
      <c r="E37" s="15" t="inlineStr">
        <is>
          <t>NA</t>
        </is>
      </c>
      <c r="F37" s="15" t="inlineStr">
        <is>
          <t>NA</t>
        </is>
      </c>
      <c r="G37" s="4" t="n"/>
      <c r="H37" s="4" t="n"/>
      <c r="I37" s="4" t="n"/>
      <c r="J37" s="4" t="n"/>
      <c r="K37" s="9" t="n">
        <v>0</v>
      </c>
      <c r="L37" s="4" t="n"/>
      <c r="M37" s="4" t="n"/>
      <c r="N37" s="4" t="n"/>
      <c r="O37" s="4" t="n"/>
      <c r="P37" s="9" t="n">
        <v>0</v>
      </c>
      <c r="Q37" s="4" t="n"/>
      <c r="R37" s="4" t="n"/>
      <c r="S37" s="4" t="n"/>
      <c r="T37" s="4" t="n"/>
      <c r="U37" s="9" t="n">
        <v>0</v>
      </c>
      <c r="V37" s="4" t="n"/>
      <c r="W37" s="4" t="n"/>
      <c r="X37" s="4" t="n"/>
      <c r="Y37" s="4" t="n"/>
      <c r="Z37" s="9" t="n">
        <v>0</v>
      </c>
      <c r="AA37" s="10">
        <f>AVERAGE(K37,P37,U37,Z37)</f>
        <v/>
      </c>
      <c r="AB37" s="11">
        <f>COUNTIF(G37:Z37,"P")</f>
        <v/>
      </c>
      <c r="AC37" s="12">
        <f>COUNTIF(G37:Z37,"L")</f>
        <v/>
      </c>
      <c r="AD37" s="13">
        <f>COUNTIF(G37:Z37,"A")</f>
        <v/>
      </c>
      <c r="AE37" s="14">
        <f>AB37+AC37</f>
        <v/>
      </c>
      <c r="AF37" s="8">
        <f>AE37/16*10</f>
        <v/>
      </c>
      <c r="AG37" s="8">
        <f>AA37</f>
        <v/>
      </c>
      <c r="AH37" s="8" t="n"/>
      <c r="AI37" s="5" t="n"/>
    </row>
    <row r="38">
      <c r="A38" s="50" t="n"/>
      <c r="B38" s="4" t="n">
        <v>30</v>
      </c>
      <c r="C38" s="4" t="n"/>
      <c r="D38" s="7" t="n"/>
      <c r="E38" s="15" t="inlineStr">
        <is>
          <t>NA</t>
        </is>
      </c>
      <c r="F38" s="15" t="inlineStr">
        <is>
          <t>NA</t>
        </is>
      </c>
      <c r="G38" s="4" t="n"/>
      <c r="H38" s="4" t="n"/>
      <c r="I38" s="4" t="n"/>
      <c r="J38" s="4" t="n"/>
      <c r="K38" s="9" t="n">
        <v>0</v>
      </c>
      <c r="L38" s="4" t="n"/>
      <c r="M38" s="4" t="n"/>
      <c r="N38" s="4" t="n"/>
      <c r="O38" s="4" t="n"/>
      <c r="P38" s="9" t="n">
        <v>0</v>
      </c>
      <c r="Q38" s="4" t="n"/>
      <c r="R38" s="4" t="n"/>
      <c r="S38" s="4" t="n"/>
      <c r="T38" s="4" t="n"/>
      <c r="U38" s="9" t="n">
        <v>0</v>
      </c>
      <c r="V38" s="4" t="n"/>
      <c r="W38" s="4" t="n"/>
      <c r="X38" s="4" t="n"/>
      <c r="Y38" s="4" t="n"/>
      <c r="Z38" s="9" t="n">
        <v>0</v>
      </c>
      <c r="AA38" s="10">
        <f>AVERAGE(K38,P38,U38,Z38)</f>
        <v/>
      </c>
      <c r="AB38" s="11">
        <f>COUNTIF(G38:Z38,"P")</f>
        <v/>
      </c>
      <c r="AC38" s="12">
        <f>COUNTIF(G38:Z38,"L")</f>
        <v/>
      </c>
      <c r="AD38" s="13">
        <f>COUNTIF(G38:Z38,"A")</f>
        <v/>
      </c>
      <c r="AE38" s="14">
        <f>AB38+AC38</f>
        <v/>
      </c>
      <c r="AF38" s="8">
        <f>AE38/16*10</f>
        <v/>
      </c>
      <c r="AG38" s="8">
        <f>AA38</f>
        <v/>
      </c>
      <c r="AH38" s="8" t="n"/>
      <c r="AI38" s="5" t="n"/>
    </row>
    <row r="39">
      <c r="A39" s="50" t="n"/>
      <c r="B39" s="4" t="n">
        <v>31</v>
      </c>
      <c r="C39" s="4" t="n"/>
      <c r="D39" s="7" t="n"/>
      <c r="E39" s="15" t="inlineStr">
        <is>
          <t>NA</t>
        </is>
      </c>
      <c r="F39" s="15" t="inlineStr">
        <is>
          <t>NA</t>
        </is>
      </c>
      <c r="G39" s="4" t="n"/>
      <c r="H39" s="4" t="n"/>
      <c r="I39" s="4" t="n"/>
      <c r="J39" s="4" t="n"/>
      <c r="K39" s="9" t="n">
        <v>0</v>
      </c>
      <c r="L39" s="4" t="n"/>
      <c r="M39" s="4" t="n"/>
      <c r="N39" s="4" t="n"/>
      <c r="O39" s="4" t="n"/>
      <c r="P39" s="9" t="n">
        <v>0</v>
      </c>
      <c r="Q39" s="4" t="n"/>
      <c r="R39" s="4" t="n"/>
      <c r="S39" s="4" t="n"/>
      <c r="T39" s="4" t="n"/>
      <c r="U39" s="9" t="n">
        <v>0</v>
      </c>
      <c r="V39" s="4" t="n"/>
      <c r="W39" s="4" t="n"/>
      <c r="X39" s="4" t="n"/>
      <c r="Y39" s="4" t="n"/>
      <c r="Z39" s="9" t="n">
        <v>0</v>
      </c>
      <c r="AA39" s="10">
        <f>AVERAGE(K39,P39,U39,Z39)</f>
        <v/>
      </c>
      <c r="AB39" s="11">
        <f>COUNTIF(G39:Z39,"P")</f>
        <v/>
      </c>
      <c r="AC39" s="12">
        <f>COUNTIF(G39:Z39,"L")</f>
        <v/>
      </c>
      <c r="AD39" s="13">
        <f>COUNTIF(G39:Z39,"A")</f>
        <v/>
      </c>
      <c r="AE39" s="14">
        <f>AB39+AC39</f>
        <v/>
      </c>
      <c r="AF39" s="8">
        <f>AE39/16*10</f>
        <v/>
      </c>
      <c r="AG39" s="8">
        <f>AA39</f>
        <v/>
      </c>
      <c r="AH39" s="8" t="n"/>
      <c r="AI39" s="5" t="n"/>
    </row>
    <row r="40">
      <c r="A40" s="50" t="n"/>
      <c r="B40" s="4" t="n">
        <v>32</v>
      </c>
      <c r="C40" s="4" t="n"/>
      <c r="D40" s="7" t="n"/>
      <c r="E40" s="15" t="inlineStr">
        <is>
          <t>NA</t>
        </is>
      </c>
      <c r="F40" s="15" t="inlineStr">
        <is>
          <t>NA</t>
        </is>
      </c>
      <c r="G40" s="4" t="n"/>
      <c r="H40" s="4" t="n"/>
      <c r="I40" s="4" t="n"/>
      <c r="J40" s="4" t="n"/>
      <c r="K40" s="9" t="n">
        <v>0</v>
      </c>
      <c r="L40" s="4" t="n"/>
      <c r="M40" s="4" t="n"/>
      <c r="N40" s="4" t="n"/>
      <c r="O40" s="4" t="n"/>
      <c r="P40" s="9" t="n">
        <v>0</v>
      </c>
      <c r="Q40" s="4" t="n"/>
      <c r="R40" s="4" t="n"/>
      <c r="S40" s="4" t="n"/>
      <c r="T40" s="4" t="n"/>
      <c r="U40" s="9" t="n">
        <v>0</v>
      </c>
      <c r="V40" s="4" t="n"/>
      <c r="W40" s="4" t="n"/>
      <c r="X40" s="4" t="n"/>
      <c r="Y40" s="4" t="n"/>
      <c r="Z40" s="9" t="n">
        <v>0</v>
      </c>
      <c r="AA40" s="10">
        <f>AVERAGE(K40,P40,U40,Z40)</f>
        <v/>
      </c>
      <c r="AB40" s="11">
        <f>COUNTIF(G40:Z40,"P")</f>
        <v/>
      </c>
      <c r="AC40" s="12">
        <f>COUNTIF(G40:Z40,"L")</f>
        <v/>
      </c>
      <c r="AD40" s="13">
        <f>COUNTIF(G40:Z40,"A")</f>
        <v/>
      </c>
      <c r="AE40" s="14">
        <f>AB40+AC40</f>
        <v/>
      </c>
      <c r="AF40" s="8">
        <f>AE40/16*10</f>
        <v/>
      </c>
      <c r="AG40" s="8">
        <f>AA40</f>
        <v/>
      </c>
      <c r="AH40" s="8" t="n"/>
      <c r="AI40" s="5" t="n"/>
    </row>
    <row r="41">
      <c r="A41" s="50" t="n"/>
      <c r="B41" s="4" t="n">
        <v>33</v>
      </c>
      <c r="C41" s="4" t="n"/>
      <c r="D41" s="7" t="n"/>
      <c r="E41" s="15" t="inlineStr">
        <is>
          <t>NA</t>
        </is>
      </c>
      <c r="F41" s="15" t="inlineStr">
        <is>
          <t>NA</t>
        </is>
      </c>
      <c r="G41" s="4" t="n"/>
      <c r="H41" s="4" t="n"/>
      <c r="I41" s="4" t="n"/>
      <c r="J41" s="4" t="n"/>
      <c r="K41" s="9" t="n">
        <v>0</v>
      </c>
      <c r="L41" s="4" t="n"/>
      <c r="M41" s="4" t="n"/>
      <c r="N41" s="4" t="n"/>
      <c r="O41" s="4" t="n"/>
      <c r="P41" s="9" t="n">
        <v>0</v>
      </c>
      <c r="Q41" s="4" t="n"/>
      <c r="R41" s="4" t="n"/>
      <c r="S41" s="4" t="n"/>
      <c r="T41" s="4" t="n"/>
      <c r="U41" s="9" t="n">
        <v>0</v>
      </c>
      <c r="V41" s="4" t="n"/>
      <c r="W41" s="4" t="n"/>
      <c r="X41" s="4" t="n"/>
      <c r="Y41" s="4" t="n"/>
      <c r="Z41" s="9" t="n">
        <v>0</v>
      </c>
      <c r="AA41" s="10">
        <f>AVERAGE(K41,P41,U41,Z41)</f>
        <v/>
      </c>
      <c r="AB41" s="11">
        <f>COUNTIF(G41:Z41,"P")</f>
        <v/>
      </c>
      <c r="AC41" s="12">
        <f>COUNTIF(G41:Z41,"L")</f>
        <v/>
      </c>
      <c r="AD41" s="13">
        <f>COUNTIF(G41:Z41,"A")</f>
        <v/>
      </c>
      <c r="AE41" s="14">
        <f>AB41+AC41</f>
        <v/>
      </c>
      <c r="AF41" s="8">
        <f>AE41/16*10</f>
        <v/>
      </c>
      <c r="AG41" s="8">
        <f>AA41</f>
        <v/>
      </c>
      <c r="AH41" s="8" t="n"/>
      <c r="AI41" s="5" t="n"/>
    </row>
    <row r="42">
      <c r="A42" s="50" t="n"/>
      <c r="B42" s="4" t="n">
        <v>34</v>
      </c>
      <c r="C42" s="4" t="n"/>
      <c r="D42" s="7" t="n"/>
      <c r="E42" s="15" t="inlineStr">
        <is>
          <t>NA</t>
        </is>
      </c>
      <c r="F42" s="15" t="inlineStr">
        <is>
          <t>NA</t>
        </is>
      </c>
      <c r="G42" s="4" t="n"/>
      <c r="H42" s="4" t="n"/>
      <c r="I42" s="4" t="n"/>
      <c r="J42" s="4" t="n"/>
      <c r="K42" s="9" t="n">
        <v>0</v>
      </c>
      <c r="L42" s="4" t="n"/>
      <c r="M42" s="4" t="n"/>
      <c r="N42" s="4" t="n"/>
      <c r="O42" s="4" t="n"/>
      <c r="P42" s="9" t="n">
        <v>0</v>
      </c>
      <c r="Q42" s="4" t="n"/>
      <c r="R42" s="4" t="n"/>
      <c r="S42" s="4" t="n"/>
      <c r="T42" s="4" t="n"/>
      <c r="U42" s="9" t="n">
        <v>0</v>
      </c>
      <c r="V42" s="4" t="n"/>
      <c r="W42" s="4" t="n"/>
      <c r="X42" s="4" t="n"/>
      <c r="Y42" s="4" t="n"/>
      <c r="Z42" s="9" t="n">
        <v>0</v>
      </c>
      <c r="AA42" s="10">
        <f>AVERAGE(K42,P42,U42,Z42)</f>
        <v/>
      </c>
      <c r="AB42" s="11">
        <f>COUNTIF(G42:Z42,"P")</f>
        <v/>
      </c>
      <c r="AC42" s="12">
        <f>COUNTIF(G42:Z42,"L")</f>
        <v/>
      </c>
      <c r="AD42" s="13">
        <f>COUNTIF(G42:Z42,"A")</f>
        <v/>
      </c>
      <c r="AE42" s="14">
        <f>AB42+AC42</f>
        <v/>
      </c>
      <c r="AF42" s="8">
        <f>AE42/16*10</f>
        <v/>
      </c>
      <c r="AG42" s="8">
        <f>AA42</f>
        <v/>
      </c>
      <c r="AH42" s="8" t="n"/>
      <c r="AI42" s="5" t="n"/>
    </row>
    <row r="43">
      <c r="A43" s="50" t="n"/>
      <c r="B43" s="4" t="n">
        <v>35</v>
      </c>
      <c r="C43" s="4" t="n"/>
      <c r="D43" s="7" t="n"/>
      <c r="E43" s="15" t="inlineStr">
        <is>
          <t>NA</t>
        </is>
      </c>
      <c r="F43" s="15" t="inlineStr">
        <is>
          <t>NA</t>
        </is>
      </c>
      <c r="G43" s="4" t="n"/>
      <c r="H43" s="4" t="n"/>
      <c r="I43" s="4" t="n"/>
      <c r="J43" s="4" t="n"/>
      <c r="K43" s="9" t="n">
        <v>0</v>
      </c>
      <c r="L43" s="4" t="n"/>
      <c r="M43" s="4" t="n"/>
      <c r="N43" s="4" t="n"/>
      <c r="O43" s="4" t="n"/>
      <c r="P43" s="9" t="n">
        <v>0</v>
      </c>
      <c r="Q43" s="4" t="n"/>
      <c r="R43" s="4" t="n"/>
      <c r="S43" s="4" t="n"/>
      <c r="T43" s="4" t="n"/>
      <c r="U43" s="9" t="n">
        <v>0</v>
      </c>
      <c r="V43" s="4" t="n"/>
      <c r="W43" s="4" t="n"/>
      <c r="X43" s="4" t="n"/>
      <c r="Y43" s="4" t="n"/>
      <c r="Z43" s="9" t="n">
        <v>0</v>
      </c>
      <c r="AA43" s="10">
        <f>AVERAGE(K43,P43,U43,Z43)</f>
        <v/>
      </c>
      <c r="AB43" s="11">
        <f>COUNTIF(G43:Z43,"P")</f>
        <v/>
      </c>
      <c r="AC43" s="12">
        <f>COUNTIF(G43:Z43,"L")</f>
        <v/>
      </c>
      <c r="AD43" s="13">
        <f>COUNTIF(G43:Z43,"A")</f>
        <v/>
      </c>
      <c r="AE43" s="14">
        <f>AB43+AC43</f>
        <v/>
      </c>
      <c r="AF43" s="8">
        <f>AE43/16*10</f>
        <v/>
      </c>
      <c r="AG43" s="8">
        <f>AA43</f>
        <v/>
      </c>
      <c r="AH43" s="8" t="n"/>
      <c r="AI43" s="5" t="n"/>
    </row>
    <row r="44">
      <c r="A44" s="50" t="n"/>
      <c r="B44" s="4" t="n">
        <v>36</v>
      </c>
      <c r="C44" s="4" t="n"/>
      <c r="D44" s="7" t="n"/>
      <c r="E44" s="15" t="inlineStr">
        <is>
          <t>NA</t>
        </is>
      </c>
      <c r="F44" s="15" t="inlineStr">
        <is>
          <t>NA</t>
        </is>
      </c>
      <c r="G44" s="4" t="n"/>
      <c r="H44" s="4" t="n"/>
      <c r="I44" s="4" t="n"/>
      <c r="J44" s="4" t="n"/>
      <c r="K44" s="9" t="n">
        <v>0</v>
      </c>
      <c r="L44" s="4" t="n"/>
      <c r="M44" s="4" t="n"/>
      <c r="N44" s="4" t="n"/>
      <c r="O44" s="4" t="n"/>
      <c r="P44" s="9" t="n">
        <v>0</v>
      </c>
      <c r="Q44" s="4" t="n"/>
      <c r="R44" s="4" t="n"/>
      <c r="S44" s="4" t="n"/>
      <c r="T44" s="4" t="n"/>
      <c r="U44" s="9" t="n">
        <v>0</v>
      </c>
      <c r="V44" s="4" t="n"/>
      <c r="W44" s="4" t="n"/>
      <c r="X44" s="4" t="n"/>
      <c r="Y44" s="4" t="n"/>
      <c r="Z44" s="9" t="n">
        <v>0</v>
      </c>
      <c r="AA44" s="10">
        <f>AVERAGE(K44,P44,U44,Z44)</f>
        <v/>
      </c>
      <c r="AB44" s="11">
        <f>COUNTIF(G44:Z44,"P")</f>
        <v/>
      </c>
      <c r="AC44" s="12">
        <f>COUNTIF(G44:Z44,"L")</f>
        <v/>
      </c>
      <c r="AD44" s="13">
        <f>COUNTIF(G44:Z44,"A")</f>
        <v/>
      </c>
      <c r="AE44" s="14">
        <f>AB44+AC44</f>
        <v/>
      </c>
      <c r="AF44" s="8">
        <f>AE44/16*10</f>
        <v/>
      </c>
      <c r="AG44" s="8">
        <f>AA44</f>
        <v/>
      </c>
      <c r="AH44" s="8" t="n"/>
      <c r="AI44" s="5" t="n"/>
    </row>
    <row r="45">
      <c r="A45" s="50" t="n"/>
      <c r="B45" s="4" t="n">
        <v>37</v>
      </c>
      <c r="C45" s="4" t="n"/>
      <c r="D45" s="7" t="n"/>
      <c r="E45" s="15" t="inlineStr">
        <is>
          <t>NA</t>
        </is>
      </c>
      <c r="F45" s="15" t="inlineStr">
        <is>
          <t>NA</t>
        </is>
      </c>
      <c r="G45" s="4" t="n"/>
      <c r="H45" s="4" t="n"/>
      <c r="I45" s="4" t="n"/>
      <c r="J45" s="4" t="n"/>
      <c r="K45" s="9" t="n">
        <v>0</v>
      </c>
      <c r="L45" s="4" t="n"/>
      <c r="M45" s="4" t="n"/>
      <c r="N45" s="4" t="n"/>
      <c r="O45" s="4" t="n"/>
      <c r="P45" s="9" t="n">
        <v>0</v>
      </c>
      <c r="Q45" s="4" t="n"/>
      <c r="R45" s="4" t="n"/>
      <c r="S45" s="4" t="n"/>
      <c r="T45" s="4" t="n"/>
      <c r="U45" s="9" t="n">
        <v>0</v>
      </c>
      <c r="V45" s="4" t="n"/>
      <c r="W45" s="4" t="n"/>
      <c r="X45" s="4" t="n"/>
      <c r="Y45" s="4" t="n"/>
      <c r="Z45" s="9" t="n">
        <v>0</v>
      </c>
      <c r="AA45" s="10">
        <f>AVERAGE(K45,P45,U45,Z45)</f>
        <v/>
      </c>
      <c r="AB45" s="11">
        <f>COUNTIF(G45:Z45,"P")</f>
        <v/>
      </c>
      <c r="AC45" s="12">
        <f>COUNTIF(G45:Z45,"L")</f>
        <v/>
      </c>
      <c r="AD45" s="13">
        <f>COUNTIF(G45:Z45,"A")</f>
        <v/>
      </c>
      <c r="AE45" s="14">
        <f>AB45+AC45</f>
        <v/>
      </c>
      <c r="AF45" s="8">
        <f>AE45/16*10</f>
        <v/>
      </c>
      <c r="AG45" s="8">
        <f>AA45</f>
        <v/>
      </c>
      <c r="AH45" s="8" t="n"/>
      <c r="AI45" s="5" t="n"/>
    </row>
    <row r="46">
      <c r="A46" s="50" t="n"/>
      <c r="B46" s="4" t="n">
        <v>38</v>
      </c>
      <c r="C46" s="4" t="n"/>
      <c r="D46" s="7" t="n"/>
      <c r="E46" s="15" t="inlineStr">
        <is>
          <t>NA</t>
        </is>
      </c>
      <c r="F46" s="15" t="inlineStr">
        <is>
          <t>NA</t>
        </is>
      </c>
      <c r="G46" s="4" t="n"/>
      <c r="H46" s="4" t="n"/>
      <c r="I46" s="4" t="n"/>
      <c r="J46" s="4" t="n"/>
      <c r="K46" s="9" t="n">
        <v>0</v>
      </c>
      <c r="L46" s="4" t="n"/>
      <c r="M46" s="4" t="n"/>
      <c r="N46" s="4" t="n"/>
      <c r="O46" s="4" t="n"/>
      <c r="P46" s="9" t="n">
        <v>0</v>
      </c>
      <c r="Q46" s="4" t="n"/>
      <c r="R46" s="4" t="n"/>
      <c r="S46" s="4" t="n"/>
      <c r="T46" s="4" t="n"/>
      <c r="U46" s="9" t="n">
        <v>0</v>
      </c>
      <c r="V46" s="4" t="n"/>
      <c r="W46" s="4" t="n"/>
      <c r="X46" s="4" t="n"/>
      <c r="Y46" s="4" t="n"/>
      <c r="Z46" s="9" t="n">
        <v>0</v>
      </c>
      <c r="AA46" s="10">
        <f>AVERAGE(K46,P46,U46,Z46)</f>
        <v/>
      </c>
      <c r="AB46" s="11">
        <f>COUNTIF(G46:Z46,"P")</f>
        <v/>
      </c>
      <c r="AC46" s="12">
        <f>COUNTIF(G46:Z46,"L")</f>
        <v/>
      </c>
      <c r="AD46" s="13">
        <f>COUNTIF(G46:Z46,"A")</f>
        <v/>
      </c>
      <c r="AE46" s="14">
        <f>AB46+AC46</f>
        <v/>
      </c>
      <c r="AF46" s="8">
        <f>AE46/16*10</f>
        <v/>
      </c>
      <c r="AG46" s="8">
        <f>AA46</f>
        <v/>
      </c>
      <c r="AH46" s="8" t="n"/>
      <c r="AI46" s="5" t="n"/>
    </row>
    <row r="47">
      <c r="A47" s="50" t="n"/>
      <c r="B47" s="4" t="n">
        <v>39</v>
      </c>
      <c r="C47" s="4" t="n"/>
      <c r="D47" s="7" t="n"/>
      <c r="E47" s="15" t="inlineStr">
        <is>
          <t>NA</t>
        </is>
      </c>
      <c r="F47" s="15" t="inlineStr">
        <is>
          <t>NA</t>
        </is>
      </c>
      <c r="G47" s="4" t="n"/>
      <c r="H47" s="4" t="n"/>
      <c r="I47" s="4" t="n"/>
      <c r="J47" s="4" t="n"/>
      <c r="K47" s="9" t="n">
        <v>0</v>
      </c>
      <c r="L47" s="4" t="n"/>
      <c r="M47" s="4" t="n"/>
      <c r="N47" s="4" t="n"/>
      <c r="O47" s="4" t="n"/>
      <c r="P47" s="9" t="n">
        <v>0</v>
      </c>
      <c r="Q47" s="4" t="n"/>
      <c r="R47" s="4" t="n"/>
      <c r="S47" s="4" t="n"/>
      <c r="T47" s="4" t="n"/>
      <c r="U47" s="9" t="n">
        <v>0</v>
      </c>
      <c r="V47" s="4" t="n"/>
      <c r="W47" s="4" t="n"/>
      <c r="X47" s="4" t="n"/>
      <c r="Y47" s="4" t="n"/>
      <c r="Z47" s="9" t="n">
        <v>0</v>
      </c>
      <c r="AA47" s="10">
        <f>AVERAGE(K47,P47,U47,Z47)</f>
        <v/>
      </c>
      <c r="AB47" s="11">
        <f>COUNTIF(G47:Z47,"P")</f>
        <v/>
      </c>
      <c r="AC47" s="12">
        <f>COUNTIF(G47:Z47,"L")</f>
        <v/>
      </c>
      <c r="AD47" s="13">
        <f>COUNTIF(G47:Z47,"A")</f>
        <v/>
      </c>
      <c r="AE47" s="14">
        <f>AB47+AC47</f>
        <v/>
      </c>
      <c r="AF47" s="8">
        <f>AE47/16*10</f>
        <v/>
      </c>
      <c r="AG47" s="8">
        <f>AA47</f>
        <v/>
      </c>
      <c r="AH47" s="8" t="n"/>
      <c r="AI47" s="5" t="n"/>
    </row>
    <row r="48">
      <c r="A48" s="50" t="n"/>
      <c r="B48" s="4" t="n">
        <v>40</v>
      </c>
      <c r="C48" s="4" t="n"/>
      <c r="D48" s="7" t="n"/>
      <c r="E48" s="15" t="inlineStr">
        <is>
          <t>NA</t>
        </is>
      </c>
      <c r="F48" s="15" t="inlineStr">
        <is>
          <t>NA</t>
        </is>
      </c>
      <c r="G48" s="4" t="n"/>
      <c r="H48" s="4" t="n"/>
      <c r="I48" s="4" t="n"/>
      <c r="J48" s="4" t="n"/>
      <c r="K48" s="9" t="n">
        <v>0</v>
      </c>
      <c r="L48" s="4" t="n"/>
      <c r="M48" s="4" t="n"/>
      <c r="N48" s="4" t="n"/>
      <c r="O48" s="4" t="n"/>
      <c r="P48" s="9" t="n">
        <v>0</v>
      </c>
      <c r="Q48" s="4" t="n"/>
      <c r="R48" s="4" t="n"/>
      <c r="S48" s="4" t="n"/>
      <c r="T48" s="4" t="n"/>
      <c r="U48" s="9" t="n">
        <v>0</v>
      </c>
      <c r="V48" s="4" t="n"/>
      <c r="W48" s="4" t="n"/>
      <c r="X48" s="4" t="n"/>
      <c r="Y48" s="4" t="n"/>
      <c r="Z48" s="9" t="n">
        <v>0</v>
      </c>
      <c r="AA48" s="10">
        <f>AVERAGE(K48,P48,U48,Z48)</f>
        <v/>
      </c>
      <c r="AB48" s="11">
        <f>COUNTIF(G48:Z48,"P")</f>
        <v/>
      </c>
      <c r="AC48" s="12">
        <f>COUNTIF(G48:Z48,"L")</f>
        <v/>
      </c>
      <c r="AD48" s="13">
        <f>COUNTIF(G48:Z48,"A")</f>
        <v/>
      </c>
      <c r="AE48" s="14">
        <f>AB48+AC48</f>
        <v/>
      </c>
      <c r="AF48" s="8">
        <f>AE48/16*10</f>
        <v/>
      </c>
      <c r="AG48" s="8">
        <f>AA48</f>
        <v/>
      </c>
      <c r="AH48" s="8" t="n"/>
      <c r="AI48" s="5" t="n"/>
    </row>
    <row r="49">
      <c r="A49" s="50" t="n"/>
      <c r="B49" s="4" t="n">
        <v>41</v>
      </c>
      <c r="C49" s="4" t="n"/>
      <c r="D49" s="7" t="n"/>
      <c r="E49" s="15" t="inlineStr">
        <is>
          <t>NA</t>
        </is>
      </c>
      <c r="F49" s="15" t="inlineStr">
        <is>
          <t>NA</t>
        </is>
      </c>
      <c r="G49" s="4" t="n"/>
      <c r="H49" s="4" t="n"/>
      <c r="I49" s="4" t="n"/>
      <c r="J49" s="4" t="n"/>
      <c r="K49" s="9" t="n">
        <v>0</v>
      </c>
      <c r="L49" s="4" t="n"/>
      <c r="M49" s="4" t="n"/>
      <c r="N49" s="4" t="n"/>
      <c r="O49" s="4" t="n"/>
      <c r="P49" s="9" t="n">
        <v>0</v>
      </c>
      <c r="Q49" s="4" t="n"/>
      <c r="R49" s="4" t="n"/>
      <c r="S49" s="4" t="n"/>
      <c r="T49" s="4" t="n"/>
      <c r="U49" s="9" t="n">
        <v>0</v>
      </c>
      <c r="V49" s="4" t="n"/>
      <c r="W49" s="4" t="n"/>
      <c r="X49" s="4" t="n"/>
      <c r="Y49" s="4" t="n"/>
      <c r="Z49" s="9" t="n">
        <v>0</v>
      </c>
      <c r="AA49" s="10">
        <f>AVERAGE(K49,P49,U49,Z49)</f>
        <v/>
      </c>
      <c r="AB49" s="11">
        <f>COUNTIF(G49:Z49,"P")</f>
        <v/>
      </c>
      <c r="AC49" s="12">
        <f>COUNTIF(G49:Z49,"L")</f>
        <v/>
      </c>
      <c r="AD49" s="13">
        <f>COUNTIF(G49:Z49,"A")</f>
        <v/>
      </c>
      <c r="AE49" s="14">
        <f>AB49+AC49</f>
        <v/>
      </c>
      <c r="AF49" s="8">
        <f>AE49/16*10</f>
        <v/>
      </c>
      <c r="AG49" s="8">
        <f>AA49</f>
        <v/>
      </c>
      <c r="AH49" s="8" t="n"/>
      <c r="AI49" s="5" t="n"/>
    </row>
    <row r="50">
      <c r="A50" s="50" t="n"/>
      <c r="B50" s="4" t="n">
        <v>42</v>
      </c>
      <c r="C50" s="4" t="n"/>
      <c r="D50" s="7" t="n"/>
      <c r="E50" s="15" t="inlineStr">
        <is>
          <t>NA</t>
        </is>
      </c>
      <c r="F50" s="15" t="inlineStr">
        <is>
          <t>NA</t>
        </is>
      </c>
      <c r="G50" s="4" t="n"/>
      <c r="H50" s="4" t="n"/>
      <c r="I50" s="4" t="n"/>
      <c r="J50" s="4" t="n"/>
      <c r="K50" s="9" t="n">
        <v>0</v>
      </c>
      <c r="L50" s="4" t="n"/>
      <c r="M50" s="4" t="n"/>
      <c r="N50" s="4" t="n"/>
      <c r="O50" s="4" t="n"/>
      <c r="P50" s="9" t="n">
        <v>0</v>
      </c>
      <c r="Q50" s="4" t="n"/>
      <c r="R50" s="4" t="n"/>
      <c r="S50" s="4" t="n"/>
      <c r="T50" s="4" t="n"/>
      <c r="U50" s="9" t="n">
        <v>0</v>
      </c>
      <c r="V50" s="4" t="n"/>
      <c r="W50" s="4" t="n"/>
      <c r="X50" s="4" t="n"/>
      <c r="Y50" s="4" t="n"/>
      <c r="Z50" s="9" t="n">
        <v>0</v>
      </c>
      <c r="AA50" s="10">
        <f>AVERAGE(K50,P50,U50,Z50)</f>
        <v/>
      </c>
      <c r="AB50" s="11">
        <f>COUNTIF(G50:Z50,"P")</f>
        <v/>
      </c>
      <c r="AC50" s="12">
        <f>COUNTIF(G50:Z50,"L")</f>
        <v/>
      </c>
      <c r="AD50" s="13">
        <f>COUNTIF(G50:Z50,"A")</f>
        <v/>
      </c>
      <c r="AE50" s="14">
        <f>AB50+AC50</f>
        <v/>
      </c>
      <c r="AF50" s="8">
        <f>AE50/16*10</f>
        <v/>
      </c>
      <c r="AG50" s="8">
        <f>AA50</f>
        <v/>
      </c>
      <c r="AH50" s="8" t="n"/>
      <c r="AI50" s="5" t="n"/>
    </row>
    <row r="51">
      <c r="A51" s="50" t="n"/>
      <c r="B51" s="4" t="n">
        <v>43</v>
      </c>
      <c r="C51" s="4" t="n"/>
      <c r="D51" s="7" t="n"/>
      <c r="E51" s="15" t="inlineStr">
        <is>
          <t>NA</t>
        </is>
      </c>
      <c r="F51" s="15" t="inlineStr">
        <is>
          <t>NA</t>
        </is>
      </c>
      <c r="G51" s="4" t="n"/>
      <c r="H51" s="4" t="n"/>
      <c r="I51" s="4" t="n"/>
      <c r="J51" s="4" t="n"/>
      <c r="K51" s="9" t="n">
        <v>0</v>
      </c>
      <c r="L51" s="4" t="n"/>
      <c r="M51" s="4" t="n"/>
      <c r="N51" s="4" t="n"/>
      <c r="O51" s="4" t="n"/>
      <c r="P51" s="9" t="n">
        <v>0</v>
      </c>
      <c r="Q51" s="4" t="n"/>
      <c r="R51" s="4" t="n"/>
      <c r="S51" s="4" t="n"/>
      <c r="T51" s="4" t="n"/>
      <c r="U51" s="9" t="n">
        <v>0</v>
      </c>
      <c r="V51" s="4" t="n"/>
      <c r="W51" s="4" t="n"/>
      <c r="X51" s="4" t="n"/>
      <c r="Y51" s="4" t="n"/>
      <c r="Z51" s="9" t="n">
        <v>0</v>
      </c>
      <c r="AA51" s="10">
        <f>AVERAGE(K51,P51,U51,Z51)</f>
        <v/>
      </c>
      <c r="AB51" s="11">
        <f>COUNTIF(G51:Z51,"P")</f>
        <v/>
      </c>
      <c r="AC51" s="12">
        <f>COUNTIF(G51:Z51,"L")</f>
        <v/>
      </c>
      <c r="AD51" s="13">
        <f>COUNTIF(G51:Z51,"A")</f>
        <v/>
      </c>
      <c r="AE51" s="14">
        <f>AB51+AC51</f>
        <v/>
      </c>
      <c r="AF51" s="8">
        <f>AE51/16*10</f>
        <v/>
      </c>
      <c r="AG51" s="8">
        <f>AA51</f>
        <v/>
      </c>
      <c r="AH51" s="8" t="n"/>
      <c r="AI51" s="5" t="n"/>
    </row>
    <row r="52">
      <c r="A52" s="50" t="n"/>
      <c r="B52" s="4" t="n">
        <v>44</v>
      </c>
      <c r="C52" s="4" t="n"/>
      <c r="D52" s="7" t="n"/>
      <c r="E52" s="15" t="inlineStr">
        <is>
          <t>NA</t>
        </is>
      </c>
      <c r="F52" s="15" t="inlineStr">
        <is>
          <t>NA</t>
        </is>
      </c>
      <c r="G52" s="4" t="n"/>
      <c r="H52" s="4" t="n"/>
      <c r="I52" s="4" t="n"/>
      <c r="J52" s="4" t="n"/>
      <c r="K52" s="9" t="n">
        <v>0</v>
      </c>
      <c r="L52" s="4" t="n"/>
      <c r="M52" s="4" t="n"/>
      <c r="N52" s="4" t="n"/>
      <c r="O52" s="4" t="n"/>
      <c r="P52" s="9" t="n">
        <v>0</v>
      </c>
      <c r="Q52" s="4" t="n"/>
      <c r="R52" s="4" t="n"/>
      <c r="S52" s="4" t="n"/>
      <c r="T52" s="4" t="n"/>
      <c r="U52" s="9" t="n">
        <v>0</v>
      </c>
      <c r="V52" s="4" t="n"/>
      <c r="W52" s="4" t="n"/>
      <c r="X52" s="4" t="n"/>
      <c r="Y52" s="4" t="n"/>
      <c r="Z52" s="9" t="n">
        <v>0</v>
      </c>
      <c r="AA52" s="10">
        <f>AVERAGE(K52,P52,U52,Z52)</f>
        <v/>
      </c>
      <c r="AB52" s="11">
        <f>COUNTIF(G52:Z52,"P")</f>
        <v/>
      </c>
      <c r="AC52" s="12">
        <f>COUNTIF(G52:Z52,"L")</f>
        <v/>
      </c>
      <c r="AD52" s="13">
        <f>COUNTIF(G52:Z52,"A")</f>
        <v/>
      </c>
      <c r="AE52" s="14">
        <f>AB52+AC52</f>
        <v/>
      </c>
      <c r="AF52" s="8">
        <f>AE52/16*10</f>
        <v/>
      </c>
      <c r="AG52" s="8">
        <f>AA52</f>
        <v/>
      </c>
      <c r="AH52" s="8" t="n"/>
      <c r="AI52" s="5" t="n"/>
    </row>
    <row r="53">
      <c r="A53" s="50" t="n"/>
      <c r="B53" s="4" t="n">
        <v>45</v>
      </c>
      <c r="C53" s="4" t="n"/>
      <c r="D53" s="7" t="n"/>
      <c r="E53" s="15" t="inlineStr">
        <is>
          <t>NA</t>
        </is>
      </c>
      <c r="F53" s="15" t="inlineStr">
        <is>
          <t>NA</t>
        </is>
      </c>
      <c r="G53" s="4" t="n"/>
      <c r="H53" s="4" t="n"/>
      <c r="I53" s="4" t="n"/>
      <c r="J53" s="4" t="n"/>
      <c r="K53" s="9" t="n">
        <v>0</v>
      </c>
      <c r="L53" s="4" t="n"/>
      <c r="M53" s="4" t="n"/>
      <c r="N53" s="4" t="n"/>
      <c r="O53" s="4" t="n"/>
      <c r="P53" s="9" t="n">
        <v>0</v>
      </c>
      <c r="Q53" s="4" t="n"/>
      <c r="R53" s="4" t="n"/>
      <c r="S53" s="4" t="n"/>
      <c r="T53" s="4" t="n"/>
      <c r="U53" s="9" t="n">
        <v>0</v>
      </c>
      <c r="V53" s="4" t="n"/>
      <c r="W53" s="4" t="n"/>
      <c r="X53" s="4" t="n"/>
      <c r="Y53" s="4" t="n"/>
      <c r="Z53" s="9" t="n">
        <v>0</v>
      </c>
      <c r="AA53" s="10">
        <f>AVERAGE(K53,P53,U53,Z53)</f>
        <v/>
      </c>
      <c r="AB53" s="11">
        <f>COUNTIF(G53:Z53,"P")</f>
        <v/>
      </c>
      <c r="AC53" s="12">
        <f>COUNTIF(G53:Z53,"L")</f>
        <v/>
      </c>
      <c r="AD53" s="13">
        <f>COUNTIF(G53:Z53,"A")</f>
        <v/>
      </c>
      <c r="AE53" s="14">
        <f>AB53+AC53</f>
        <v/>
      </c>
      <c r="AF53" s="8">
        <f>AE53/16*10</f>
        <v/>
      </c>
      <c r="AG53" s="8">
        <f>AA53</f>
        <v/>
      </c>
      <c r="AH53" s="8" t="n"/>
      <c r="AI53" s="5" t="n"/>
    </row>
    <row r="54">
      <c r="A54" s="50" t="n"/>
      <c r="B54" s="4" t="n">
        <v>46</v>
      </c>
      <c r="C54" s="4" t="n"/>
      <c r="D54" s="7" t="n"/>
      <c r="E54" s="15" t="inlineStr">
        <is>
          <t>NA</t>
        </is>
      </c>
      <c r="F54" s="15" t="inlineStr">
        <is>
          <t>NA</t>
        </is>
      </c>
      <c r="G54" s="4" t="n"/>
      <c r="H54" s="4" t="n"/>
      <c r="I54" s="4" t="n"/>
      <c r="J54" s="4" t="n"/>
      <c r="K54" s="9" t="n">
        <v>0</v>
      </c>
      <c r="L54" s="4" t="n"/>
      <c r="M54" s="4" t="n"/>
      <c r="N54" s="4" t="n"/>
      <c r="O54" s="4" t="n"/>
      <c r="P54" s="9" t="n">
        <v>0</v>
      </c>
      <c r="Q54" s="4" t="n"/>
      <c r="R54" s="4" t="n"/>
      <c r="S54" s="4" t="n"/>
      <c r="T54" s="4" t="n"/>
      <c r="U54" s="9" t="n">
        <v>0</v>
      </c>
      <c r="V54" s="4" t="n"/>
      <c r="W54" s="4" t="n"/>
      <c r="X54" s="4" t="n"/>
      <c r="Y54" s="4" t="n"/>
      <c r="Z54" s="9" t="n">
        <v>0</v>
      </c>
      <c r="AA54" s="10">
        <f>AVERAGE(K54,P54,U54,Z54)</f>
        <v/>
      </c>
      <c r="AB54" s="11">
        <f>COUNTIF(G54:Z54,"P")</f>
        <v/>
      </c>
      <c r="AC54" s="12">
        <f>COUNTIF(G54:Z54,"L")</f>
        <v/>
      </c>
      <c r="AD54" s="13">
        <f>COUNTIF(G54:Z54,"A")</f>
        <v/>
      </c>
      <c r="AE54" s="14">
        <f>AB54+AC54</f>
        <v/>
      </c>
      <c r="AF54" s="8">
        <f>AE54/16*10</f>
        <v/>
      </c>
      <c r="AG54" s="8">
        <f>AA54</f>
        <v/>
      </c>
      <c r="AH54" s="8" t="n"/>
      <c r="AI54" s="5" t="n"/>
    </row>
    <row r="55">
      <c r="A55" s="50" t="n"/>
      <c r="B55" s="4" t="n">
        <v>47</v>
      </c>
      <c r="C55" s="4" t="n"/>
      <c r="D55" s="7" t="n"/>
      <c r="E55" s="15" t="inlineStr">
        <is>
          <t>NA</t>
        </is>
      </c>
      <c r="F55" s="15" t="inlineStr">
        <is>
          <t>NA</t>
        </is>
      </c>
      <c r="G55" s="4" t="n"/>
      <c r="H55" s="4" t="n"/>
      <c r="I55" s="4" t="n"/>
      <c r="J55" s="4" t="n"/>
      <c r="K55" s="9" t="n">
        <v>0</v>
      </c>
      <c r="L55" s="4" t="n"/>
      <c r="M55" s="4" t="n"/>
      <c r="N55" s="4" t="n"/>
      <c r="O55" s="4" t="n"/>
      <c r="P55" s="9" t="n">
        <v>0</v>
      </c>
      <c r="Q55" s="4" t="n"/>
      <c r="R55" s="4" t="n"/>
      <c r="S55" s="4" t="n"/>
      <c r="T55" s="4" t="n"/>
      <c r="U55" s="9" t="n">
        <v>0</v>
      </c>
      <c r="V55" s="4" t="n"/>
      <c r="W55" s="4" t="n"/>
      <c r="X55" s="4" t="n"/>
      <c r="Y55" s="4" t="n"/>
      <c r="Z55" s="9" t="n">
        <v>0</v>
      </c>
      <c r="AA55" s="10">
        <f>AVERAGE(K55,P55,U55,Z55)</f>
        <v/>
      </c>
      <c r="AB55" s="11">
        <f>COUNTIF(G55:Z55,"P")</f>
        <v/>
      </c>
      <c r="AC55" s="12">
        <f>COUNTIF(G55:Z55,"L")</f>
        <v/>
      </c>
      <c r="AD55" s="13">
        <f>COUNTIF(G55:Z55,"A")</f>
        <v/>
      </c>
      <c r="AE55" s="14">
        <f>AB55+AC55</f>
        <v/>
      </c>
      <c r="AF55" s="8">
        <f>AE55/16*10</f>
        <v/>
      </c>
      <c r="AG55" s="8">
        <f>AA55</f>
        <v/>
      </c>
      <c r="AH55" s="8" t="n"/>
      <c r="AI55" s="5" t="n"/>
    </row>
    <row r="56">
      <c r="A56" s="50" t="n"/>
      <c r="B56" s="4" t="n">
        <v>48</v>
      </c>
      <c r="C56" s="4" t="n"/>
      <c r="D56" s="7" t="n"/>
      <c r="E56" s="15" t="inlineStr">
        <is>
          <t>NA</t>
        </is>
      </c>
      <c r="F56" s="15" t="inlineStr">
        <is>
          <t>NA</t>
        </is>
      </c>
      <c r="G56" s="4" t="n"/>
      <c r="H56" s="4" t="n"/>
      <c r="I56" s="4" t="n"/>
      <c r="J56" s="4" t="n"/>
      <c r="K56" s="9" t="n">
        <v>0</v>
      </c>
      <c r="L56" s="4" t="n"/>
      <c r="M56" s="4" t="n"/>
      <c r="N56" s="4" t="n"/>
      <c r="O56" s="4" t="n"/>
      <c r="P56" s="9" t="n">
        <v>0</v>
      </c>
      <c r="Q56" s="4" t="n"/>
      <c r="R56" s="4" t="n"/>
      <c r="S56" s="4" t="n"/>
      <c r="T56" s="4" t="n"/>
      <c r="U56" s="9" t="n">
        <v>0</v>
      </c>
      <c r="V56" s="4" t="n"/>
      <c r="W56" s="4" t="n"/>
      <c r="X56" s="4" t="n"/>
      <c r="Y56" s="4" t="n"/>
      <c r="Z56" s="9" t="n">
        <v>0</v>
      </c>
      <c r="AA56" s="10">
        <f>AVERAGE(K56,P56,U56,Z56)</f>
        <v/>
      </c>
      <c r="AB56" s="11">
        <f>COUNTIF(G56:Z56,"P")</f>
        <v/>
      </c>
      <c r="AC56" s="12">
        <f>COUNTIF(G56:Z56,"L")</f>
        <v/>
      </c>
      <c r="AD56" s="13">
        <f>COUNTIF(G56:Z56,"A")</f>
        <v/>
      </c>
      <c r="AE56" s="14">
        <f>AB56+AC56</f>
        <v/>
      </c>
      <c r="AF56" s="8">
        <f>AE56/16*10</f>
        <v/>
      </c>
      <c r="AG56" s="8">
        <f>AA56</f>
        <v/>
      </c>
      <c r="AH56" s="8" t="n"/>
      <c r="AI56" s="5" t="n"/>
    </row>
    <row r="57">
      <c r="A57" s="50" t="n"/>
      <c r="B57" s="4" t="n">
        <v>49</v>
      </c>
      <c r="C57" s="4" t="n"/>
      <c r="D57" s="7" t="n"/>
      <c r="E57" s="15" t="inlineStr">
        <is>
          <t>NA</t>
        </is>
      </c>
      <c r="F57" s="15" t="inlineStr">
        <is>
          <t>NA</t>
        </is>
      </c>
      <c r="G57" s="4" t="n"/>
      <c r="H57" s="4" t="n"/>
      <c r="I57" s="4" t="n"/>
      <c r="J57" s="4" t="n"/>
      <c r="K57" s="9" t="n">
        <v>0</v>
      </c>
      <c r="L57" s="4" t="n"/>
      <c r="M57" s="4" t="n"/>
      <c r="N57" s="4" t="n"/>
      <c r="O57" s="4" t="n"/>
      <c r="P57" s="9" t="n">
        <v>0</v>
      </c>
      <c r="Q57" s="4" t="n"/>
      <c r="R57" s="4" t="n"/>
      <c r="S57" s="4" t="n"/>
      <c r="T57" s="4" t="n"/>
      <c r="U57" s="9" t="n">
        <v>0</v>
      </c>
      <c r="V57" s="4" t="n"/>
      <c r="W57" s="4" t="n"/>
      <c r="X57" s="4" t="n"/>
      <c r="Y57" s="4" t="n"/>
      <c r="Z57" s="9" t="n">
        <v>0</v>
      </c>
      <c r="AA57" s="10">
        <f>AVERAGE(K57,P57,U57,Z57)</f>
        <v/>
      </c>
      <c r="AB57" s="11">
        <f>COUNTIF(G57:Z57,"P")</f>
        <v/>
      </c>
      <c r="AC57" s="12">
        <f>COUNTIF(G57:Z57,"L")</f>
        <v/>
      </c>
      <c r="AD57" s="13">
        <f>COUNTIF(G57:Z57,"A")</f>
        <v/>
      </c>
      <c r="AE57" s="14">
        <f>AB57+AC57</f>
        <v/>
      </c>
      <c r="AF57" s="8">
        <f>AE57/16*10</f>
        <v/>
      </c>
      <c r="AG57" s="8">
        <f>AA57</f>
        <v/>
      </c>
      <c r="AH57" s="8" t="n"/>
      <c r="AI57" s="5" t="n"/>
    </row>
    <row r="58">
      <c r="A58" s="50" t="n"/>
      <c r="B58" s="4" t="n">
        <v>50</v>
      </c>
      <c r="C58" s="4" t="n"/>
      <c r="D58" s="7" t="n"/>
      <c r="E58" s="15" t="inlineStr">
        <is>
          <t>NA</t>
        </is>
      </c>
      <c r="F58" s="15" t="inlineStr">
        <is>
          <t>NA</t>
        </is>
      </c>
      <c r="G58" s="4" t="n"/>
      <c r="H58" s="4" t="n"/>
      <c r="I58" s="4" t="n"/>
      <c r="J58" s="4" t="n"/>
      <c r="K58" s="9" t="n">
        <v>0</v>
      </c>
      <c r="L58" s="4" t="n"/>
      <c r="M58" s="4" t="n"/>
      <c r="N58" s="4" t="n"/>
      <c r="O58" s="4" t="n"/>
      <c r="P58" s="9" t="n">
        <v>0</v>
      </c>
      <c r="Q58" s="4" t="n"/>
      <c r="R58" s="4" t="n"/>
      <c r="S58" s="4" t="n"/>
      <c r="T58" s="4" t="n"/>
      <c r="U58" s="9" t="n">
        <v>0</v>
      </c>
      <c r="V58" s="4" t="n"/>
      <c r="W58" s="4" t="n"/>
      <c r="X58" s="4" t="n"/>
      <c r="Y58" s="4" t="n"/>
      <c r="Z58" s="9" t="n">
        <v>0</v>
      </c>
      <c r="AA58" s="10">
        <f>AVERAGE(K58,P58,U58,Z58)</f>
        <v/>
      </c>
      <c r="AB58" s="11">
        <f>COUNTIF(G58:Z58,"P")</f>
        <v/>
      </c>
      <c r="AC58" s="12">
        <f>COUNTIF(G58:Z58,"L")</f>
        <v/>
      </c>
      <c r="AD58" s="13">
        <f>COUNTIF(G58:Z58,"A")</f>
        <v/>
      </c>
      <c r="AE58" s="14">
        <f>AB58+AC58</f>
        <v/>
      </c>
      <c r="AF58" s="8">
        <f>AE58/16*10</f>
        <v/>
      </c>
      <c r="AG58" s="8">
        <f>AA58</f>
        <v/>
      </c>
      <c r="AH58" s="8" t="n"/>
      <c r="AI58" s="5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  <c r="AH59" s="50" t="n"/>
      <c r="AI59" s="50" t="n"/>
    </row>
  </sheetData>
  <mergeCells count="23">
    <mergeCell ref="Q7:R7"/>
    <mergeCell ref="L7:M7"/>
    <mergeCell ref="N7:O7"/>
    <mergeCell ref="A3:C3"/>
    <mergeCell ref="V8:W8"/>
    <mergeCell ref="G8:H8"/>
    <mergeCell ref="X8:Y8"/>
    <mergeCell ref="E8:F8"/>
    <mergeCell ref="A2:C2"/>
    <mergeCell ref="Q8:R8"/>
    <mergeCell ref="S8:T8"/>
    <mergeCell ref="X7:Y7"/>
    <mergeCell ref="A5:C5"/>
    <mergeCell ref="G7:H7"/>
    <mergeCell ref="S7:T7"/>
    <mergeCell ref="I7:J7"/>
    <mergeCell ref="A4:C4"/>
    <mergeCell ref="L8:M8"/>
    <mergeCell ref="N8:O8"/>
    <mergeCell ref="I8:J8"/>
    <mergeCell ref="V7:W7"/>
    <mergeCell ref="E7:F7"/>
    <mergeCell ref="A6:C6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ColWidth="9.140625" defaultRowHeight="15"/>
  <cols>
    <col width="3.7109375" customWidth="1" style="1" min="1" max="1"/>
    <col width="4.85546875" customWidth="1" style="2" min="2" max="2"/>
    <col width="9.42578125" customWidth="1" style="2" min="3" max="3"/>
    <col width="22" customWidth="1" style="1" min="4" max="5"/>
    <col width="16" bestFit="1" customWidth="1" style="1" min="6" max="6"/>
    <col width="22.42578125" customWidth="1" style="1" min="7" max="7"/>
    <col width="21" bestFit="1" customWidth="1" style="1" min="8" max="8"/>
    <col width="9.140625" customWidth="1" style="1" min="9" max="16384"/>
  </cols>
  <sheetData>
    <row r="1" ht="21.75" customHeight="1">
      <c r="A1" s="26" t="n"/>
      <c r="B1" s="53" t="n"/>
      <c r="C1" s="93" t="inlineStr">
        <is>
          <t>Section:</t>
        </is>
      </c>
      <c r="D1" s="55" t="inlineStr">
        <is>
          <t>4</t>
        </is>
      </c>
      <c r="E1" s="58" t="inlineStr">
        <is>
          <t>Marks Recording Sheet</t>
        </is>
      </c>
      <c r="F1" s="32" t="n"/>
      <c r="G1" s="32" t="n"/>
      <c r="H1" s="26" t="n"/>
      <c r="I1" s="26" t="n"/>
    </row>
    <row r="2" ht="20.25" customHeight="1">
      <c r="A2" s="93" t="inlineStr">
        <is>
          <t>Teacher Name:</t>
        </is>
      </c>
      <c r="B2" s="94" t="n"/>
      <c r="C2" s="95" t="n"/>
      <c r="D2" s="55">
        <f>'G4- Attendance'!D2</f>
        <v/>
      </c>
      <c r="E2" s="35">
        <f>'G4- Attendance'!E2</f>
        <v/>
      </c>
      <c r="F2" s="26" t="n"/>
      <c r="G2" s="49" t="n"/>
      <c r="H2" s="26" t="n"/>
      <c r="I2" s="26" t="n"/>
    </row>
    <row r="3" ht="21" customHeight="1">
      <c r="A3" s="93" t="inlineStr">
        <is>
          <t>School ID:</t>
        </is>
      </c>
      <c r="B3" s="94" t="n"/>
      <c r="C3" s="95" t="n"/>
      <c r="D3" s="56">
        <f>'G4- Attendance'!D3</f>
        <v/>
      </c>
      <c r="E3" s="59">
        <f>'G4- Attendance'!E3</f>
        <v/>
      </c>
      <c r="F3" s="26" t="n"/>
      <c r="G3" s="26" t="n"/>
      <c r="H3" s="26" t="n"/>
      <c r="I3" s="26" t="n"/>
    </row>
    <row r="4" ht="23.25" customFormat="1" customHeight="1" s="23">
      <c r="A4" s="93" t="inlineStr">
        <is>
          <t>School Name:</t>
        </is>
      </c>
      <c r="B4" s="94" t="n"/>
      <c r="C4" s="95" t="n"/>
      <c r="D4" s="56">
        <f>'G4- Attendance'!D4</f>
        <v/>
      </c>
      <c r="E4" s="59">
        <f>'G4- Attendance'!E4</f>
        <v/>
      </c>
      <c r="F4" s="60" t="n"/>
      <c r="G4" s="60" t="n"/>
      <c r="H4" s="61" t="n"/>
      <c r="I4" s="61" t="n"/>
    </row>
    <row r="5" ht="18" customHeight="1">
      <c r="A5" s="93" t="inlineStr">
        <is>
          <t>Emirate/Area:</t>
        </is>
      </c>
      <c r="B5" s="94" t="n"/>
      <c r="C5" s="95" t="n"/>
      <c r="D5" s="56">
        <f>'G4- Attendance'!D5</f>
        <v/>
      </c>
      <c r="E5" s="62" t="n"/>
      <c r="F5" s="62" t="n"/>
      <c r="G5" s="62" t="n"/>
      <c r="H5" s="26" t="n"/>
      <c r="I5" s="26" t="n"/>
    </row>
    <row r="6" ht="41.25" customHeight="1">
      <c r="A6" s="93" t="inlineStr">
        <is>
          <t>Council:</t>
        </is>
      </c>
      <c r="B6" s="94" t="n"/>
      <c r="C6" s="95" t="n"/>
      <c r="D6" s="57">
        <f>'G4- Attendance'!D6</f>
        <v/>
      </c>
      <c r="E6" s="49" t="n"/>
      <c r="F6" s="63" t="n"/>
      <c r="G6" s="64" t="n"/>
      <c r="H6" s="64" t="n"/>
      <c r="I6" s="26" t="n"/>
    </row>
    <row r="7" ht="28.5" customHeight="1">
      <c r="A7" s="32" t="n"/>
      <c r="B7" s="27" t="n"/>
      <c r="C7" s="48" t="n"/>
      <c r="D7" s="49" t="n"/>
      <c r="E7" s="75" t="inlineStr">
        <is>
          <t>School-based Assessment (SB1)</t>
        </is>
      </c>
      <c r="F7" s="80" t="inlineStr">
        <is>
          <t>Attendance/
Effort</t>
        </is>
      </c>
      <c r="G7" s="76" t="inlineStr">
        <is>
          <t>School-based Total</t>
        </is>
      </c>
      <c r="H7" s="77" t="inlineStr">
        <is>
          <t>End of Term Total</t>
        </is>
      </c>
      <c r="I7" s="26" t="n"/>
      <c r="K7" s="3" t="n"/>
    </row>
    <row r="8" ht="15.75" customHeight="1">
      <c r="A8" s="26" t="n"/>
      <c r="B8" s="51" t="inlineStr">
        <is>
          <t>No</t>
        </is>
      </c>
      <c r="C8" s="51" t="inlineStr">
        <is>
          <t>Student #</t>
        </is>
      </c>
      <c r="D8" s="78" t="inlineStr">
        <is>
          <t>Student Name</t>
        </is>
      </c>
      <c r="E8" s="19" t="inlineStr">
        <is>
          <t>80 marks</t>
        </is>
      </c>
      <c r="F8" s="18" t="inlineStr">
        <is>
          <t>20 marks</t>
        </is>
      </c>
      <c r="G8" s="17" t="inlineStr">
        <is>
          <t>100 marks</t>
        </is>
      </c>
      <c r="H8" s="77" t="inlineStr">
        <is>
          <t>100 marks</t>
        </is>
      </c>
      <c r="I8" s="26" t="n"/>
    </row>
    <row r="9">
      <c r="A9" s="50" t="n"/>
      <c r="B9" s="22" t="n">
        <v>1</v>
      </c>
      <c r="C9" s="22" t="n">
        <v>1</v>
      </c>
      <c r="D9" s="25" t="inlineStr">
        <is>
          <t>الدماني منصور عجيل الشين الجحافي</t>
        </is>
      </c>
      <c r="E9" s="6" t="n">
        <v>33</v>
      </c>
      <c r="F9" s="8" t="n">
        <v>19</v>
      </c>
      <c r="G9" s="16" t="n">
        <v>52</v>
      </c>
      <c r="H9" s="79" t="n">
        <v>99</v>
      </c>
      <c r="I9" s="26" t="n"/>
    </row>
    <row r="10">
      <c r="A10" s="50" t="n"/>
      <c r="B10" s="22" t="n">
        <v>2</v>
      </c>
      <c r="C10" s="22" t="n">
        <v>2</v>
      </c>
      <c r="D10" s="25" t="inlineStr">
        <is>
          <t>بسملة خمليش</t>
        </is>
      </c>
      <c r="E10" s="6" t="n">
        <v>40</v>
      </c>
      <c r="F10" s="8" t="n">
        <v>20</v>
      </c>
      <c r="G10" s="16" t="n">
        <v>60</v>
      </c>
      <c r="H10" s="79" t="n">
        <v>77</v>
      </c>
      <c r="I10" s="26" t="n"/>
    </row>
    <row r="11">
      <c r="A11" s="50" t="n"/>
      <c r="B11" s="22" t="n">
        <v>3</v>
      </c>
      <c r="C11" s="22" t="n">
        <v>3</v>
      </c>
      <c r="D11" s="25" t="inlineStr">
        <is>
          <t>حصه صالح سالم البرك العامري</t>
        </is>
      </c>
      <c r="E11" s="6" t="n">
        <v>74</v>
      </c>
      <c r="F11" s="8" t="n">
        <v>20</v>
      </c>
      <c r="G11" s="16" t="n">
        <v>94</v>
      </c>
      <c r="H11" s="79" t="n">
        <v>55</v>
      </c>
      <c r="I11" s="26" t="n"/>
    </row>
    <row r="12">
      <c r="A12" s="50" t="n"/>
      <c r="B12" s="22" t="n">
        <v>4</v>
      </c>
      <c r="C12" s="22" t="n">
        <v>4</v>
      </c>
      <c r="D12" s="25" t="inlineStr">
        <is>
          <t>حمدان محمد سعيد سالمين بن اسحاق</t>
        </is>
      </c>
      <c r="E12" s="6" t="n">
        <v>73</v>
      </c>
      <c r="F12" s="8" t="n">
        <v>20</v>
      </c>
      <c r="G12" s="16" t="n">
        <v>93</v>
      </c>
      <c r="H12" s="79" t="n">
        <v>71</v>
      </c>
      <c r="I12" s="26" t="n"/>
    </row>
    <row r="13">
      <c r="A13" s="50" t="n"/>
      <c r="B13" s="22" t="n">
        <v>5</v>
      </c>
      <c r="C13" s="22" t="n">
        <v>5</v>
      </c>
      <c r="D13" s="25" t="inlineStr">
        <is>
          <t>حياة ناصر جمعه راشد الكعبي</t>
        </is>
      </c>
      <c r="E13" s="6" t="n">
        <v>64</v>
      </c>
      <c r="F13" s="8" t="n">
        <v>19</v>
      </c>
      <c r="G13" s="16" t="n">
        <v>83</v>
      </c>
      <c r="H13" s="79" t="n">
        <v>78</v>
      </c>
      <c r="I13" s="26" t="n"/>
    </row>
    <row r="14">
      <c r="A14" s="50" t="n"/>
      <c r="B14" s="22" t="n">
        <v>6</v>
      </c>
      <c r="C14" s="22" t="n">
        <v>6</v>
      </c>
      <c r="D14" s="25" t="inlineStr">
        <is>
          <t>سلمان سالم احمد سالم المنصوري</t>
        </is>
      </c>
      <c r="E14" s="6" t="n">
        <v>38</v>
      </c>
      <c r="F14" s="8" t="n">
        <v>19</v>
      </c>
      <c r="G14" s="16" t="n">
        <v>57</v>
      </c>
      <c r="H14" s="79" t="n">
        <v>72</v>
      </c>
      <c r="I14" s="26" t="n"/>
    </row>
    <row r="15">
      <c r="A15" s="50" t="n"/>
      <c r="B15" s="22" t="n">
        <v>7</v>
      </c>
      <c r="C15" s="22" t="n">
        <v>7</v>
      </c>
      <c r="D15" s="25" t="inlineStr">
        <is>
          <t>شيخة هداف رضوان عيضة المنهالي</t>
        </is>
      </c>
      <c r="E15" s="6" t="n">
        <v>49</v>
      </c>
      <c r="F15" s="8" t="n">
        <v>20</v>
      </c>
      <c r="G15" s="16" t="n">
        <v>69</v>
      </c>
      <c r="H15" s="79" t="n">
        <v>94</v>
      </c>
      <c r="I15" s="26" t="n"/>
    </row>
    <row r="16">
      <c r="A16" s="50" t="n"/>
      <c r="B16" s="22" t="n">
        <v>8</v>
      </c>
      <c r="C16" s="22" t="n">
        <v>8</v>
      </c>
      <c r="D16" s="25" t="inlineStr">
        <is>
          <t>عائشه منصور محمد احمد الحضرمى</t>
        </is>
      </c>
      <c r="E16" s="6" t="n">
        <v>63</v>
      </c>
      <c r="F16" s="8" t="n">
        <v>18</v>
      </c>
      <c r="G16" s="16" t="n">
        <v>81</v>
      </c>
      <c r="H16" s="79" t="n">
        <v>83</v>
      </c>
      <c r="I16" s="26" t="n"/>
    </row>
    <row r="17">
      <c r="A17" s="50" t="n"/>
      <c r="B17" s="22" t="n">
        <v>9</v>
      </c>
      <c r="C17" s="22" t="n">
        <v>9</v>
      </c>
      <c r="D17" s="25" t="inlineStr">
        <is>
          <t>عبدالله بدر حسين عيسى</t>
        </is>
      </c>
      <c r="E17" s="6" t="n">
        <v>68</v>
      </c>
      <c r="F17" s="8" t="n">
        <v>18</v>
      </c>
      <c r="G17" s="16" t="n">
        <v>86</v>
      </c>
      <c r="H17" s="79" t="n">
        <v>78</v>
      </c>
      <c r="I17" s="26" t="n"/>
    </row>
    <row r="18">
      <c r="A18" s="50" t="n"/>
      <c r="B18" s="22" t="n">
        <v>10</v>
      </c>
      <c r="C18" s="22" t="n">
        <v>10</v>
      </c>
      <c r="D18" s="25" t="inlineStr">
        <is>
          <t>عبدالله نوح قاسم جان محمد البلوشى</t>
        </is>
      </c>
      <c r="E18" s="6" t="n">
        <v>71</v>
      </c>
      <c r="F18" s="8" t="n">
        <v>19</v>
      </c>
      <c r="G18" s="16" t="n">
        <v>90</v>
      </c>
      <c r="H18" s="79" t="n">
        <v>73</v>
      </c>
      <c r="I18" s="26" t="n"/>
    </row>
    <row r="19">
      <c r="A19" s="50" t="n"/>
      <c r="B19" s="22" t="n">
        <v>11</v>
      </c>
      <c r="C19" s="22" t="n">
        <v>11</v>
      </c>
      <c r="D19" s="25" t="inlineStr">
        <is>
          <t>فاطمه محمد سعيد سالم الشامسي</t>
        </is>
      </c>
      <c r="E19" s="6" t="n">
        <v>76</v>
      </c>
      <c r="F19" s="8" t="n">
        <v>20</v>
      </c>
      <c r="G19" s="16" t="n">
        <v>96</v>
      </c>
      <c r="H19" s="79" t="n">
        <v>96</v>
      </c>
      <c r="I19" s="26" t="n"/>
    </row>
    <row r="20">
      <c r="A20" s="50" t="n"/>
      <c r="B20" s="22" t="n">
        <v>12</v>
      </c>
      <c r="C20" s="22" t="n">
        <v>12</v>
      </c>
      <c r="D20" s="25" t="inlineStr">
        <is>
          <t>مثايل خالد ناصر راشد الساعدي</t>
        </is>
      </c>
      <c r="E20" s="6" t="n">
        <v>71</v>
      </c>
      <c r="F20" s="8" t="n">
        <v>19</v>
      </c>
      <c r="G20" s="16" t="n">
        <v>90</v>
      </c>
      <c r="H20" s="79" t="n">
        <v>98</v>
      </c>
      <c r="I20" s="26" t="n"/>
    </row>
    <row r="21">
      <c r="A21" s="50" t="n"/>
      <c r="B21" s="22" t="n">
        <v>13</v>
      </c>
      <c r="C21" s="22" t="n">
        <v>13</v>
      </c>
      <c r="D21" s="25" t="inlineStr">
        <is>
          <t>محمد خالد سالم سلطان الكعبى</t>
        </is>
      </c>
      <c r="E21" s="6" t="n">
        <v>39</v>
      </c>
      <c r="F21" s="8" t="n">
        <v>18</v>
      </c>
      <c r="G21" s="16" t="n">
        <v>57</v>
      </c>
      <c r="H21" s="79" t="n">
        <v>97</v>
      </c>
      <c r="I21" s="26" t="n"/>
    </row>
    <row r="22">
      <c r="A22" s="50" t="n"/>
      <c r="B22" s="22" t="n">
        <v>14</v>
      </c>
      <c r="C22" s="22" t="n">
        <v>14</v>
      </c>
      <c r="D22" s="25" t="inlineStr">
        <is>
          <t>محمد صقر محمد بجير العامري</t>
        </is>
      </c>
      <c r="E22" s="6" t="n">
        <v>60</v>
      </c>
      <c r="F22" s="8" t="n">
        <v>20</v>
      </c>
      <c r="G22" s="16" t="n">
        <v>80</v>
      </c>
      <c r="H22" s="79" t="n">
        <v>71</v>
      </c>
      <c r="I22" s="26" t="n"/>
    </row>
    <row r="23">
      <c r="A23" s="50" t="n"/>
      <c r="B23" s="22" t="n">
        <v>15</v>
      </c>
      <c r="C23" s="22" t="n">
        <v>15</v>
      </c>
      <c r="D23" s="25" t="inlineStr">
        <is>
          <t>محمد عوض هادي فلاح الاحبابي</t>
        </is>
      </c>
      <c r="E23" s="6" t="n">
        <v>74</v>
      </c>
      <c r="F23" s="8" t="n">
        <v>20</v>
      </c>
      <c r="G23" s="16" t="n">
        <v>94</v>
      </c>
      <c r="H23" s="79" t="n">
        <v>75</v>
      </c>
      <c r="I23" s="26" t="n"/>
    </row>
    <row r="24">
      <c r="A24" s="50" t="n"/>
      <c r="B24" s="22" t="n">
        <v>16</v>
      </c>
      <c r="C24" s="22" t="n">
        <v>16</v>
      </c>
      <c r="D24" s="25" t="inlineStr">
        <is>
          <t>مفرح سعد مسفر عبدالرحمن الأحبابي</t>
        </is>
      </c>
      <c r="E24" s="6" t="n">
        <v>63</v>
      </c>
      <c r="F24" s="8" t="n">
        <v>18</v>
      </c>
      <c r="G24" s="16" t="n">
        <v>81</v>
      </c>
      <c r="H24" s="79" t="n">
        <v>82</v>
      </c>
      <c r="I24" s="26" t="n"/>
    </row>
    <row r="25">
      <c r="A25" s="50" t="n"/>
      <c r="B25" s="22" t="n">
        <v>17</v>
      </c>
      <c r="C25" s="22" t="n">
        <v>17</v>
      </c>
      <c r="D25" s="25" t="inlineStr">
        <is>
          <t>ناصر صالح سليمان مبارك العامري</t>
        </is>
      </c>
      <c r="E25" s="6" t="n">
        <v>29</v>
      </c>
      <c r="F25" s="8" t="n">
        <v>20</v>
      </c>
      <c r="G25" s="16" t="n">
        <v>49</v>
      </c>
      <c r="H25" s="79" t="n">
        <v>87</v>
      </c>
      <c r="I25" s="26" t="n"/>
    </row>
    <row r="26">
      <c r="A26" s="50" t="n"/>
      <c r="B26" s="22" t="n"/>
      <c r="C26" s="22" t="n"/>
      <c r="D26" s="25" t="n"/>
      <c r="E26" s="6" t="n"/>
      <c r="F26" s="8" t="n"/>
      <c r="G26" s="16" t="n"/>
      <c r="H26" s="79" t="n"/>
      <c r="I26" s="26" t="n"/>
    </row>
    <row r="27">
      <c r="A27" s="50" t="n"/>
      <c r="B27" s="22" t="n"/>
      <c r="C27" s="22" t="n"/>
      <c r="D27" s="25" t="n"/>
      <c r="E27" s="6" t="n"/>
      <c r="F27" s="8" t="n"/>
      <c r="G27" s="16" t="n"/>
      <c r="H27" s="79" t="n">
        <v>88</v>
      </c>
      <c r="I27" s="26" t="n"/>
    </row>
    <row r="28">
      <c r="A28" s="50" t="n"/>
      <c r="B28" s="22" t="n"/>
      <c r="C28" s="22" t="n"/>
      <c r="D28" s="25" t="n"/>
      <c r="E28" s="6" t="n"/>
      <c r="F28" s="8" t="n"/>
      <c r="G28" s="16" t="n"/>
      <c r="H28" s="79" t="n"/>
      <c r="I28" s="26" t="n"/>
    </row>
    <row r="29">
      <c r="A29" s="50" t="n"/>
      <c r="B29" s="22" t="n"/>
      <c r="C29" s="22" t="n"/>
      <c r="D29" s="25" t="n"/>
      <c r="E29" s="6" t="n"/>
      <c r="F29" s="8" t="n"/>
      <c r="G29" s="16" t="n"/>
      <c r="H29" s="79" t="n"/>
      <c r="I29" s="26" t="n"/>
    </row>
    <row r="30">
      <c r="A30" s="50" t="n"/>
      <c r="B30" s="22" t="n"/>
      <c r="C30" s="22" t="n"/>
      <c r="D30" s="25" t="n"/>
      <c r="E30" s="6" t="n"/>
      <c r="F30" s="8" t="n"/>
      <c r="G30" s="16" t="n"/>
      <c r="H30" s="79" t="n"/>
      <c r="I30" s="26" t="n"/>
    </row>
    <row r="31">
      <c r="A31" s="50" t="n"/>
      <c r="B31" s="22" t="n"/>
      <c r="C31" s="22" t="n"/>
      <c r="D31" s="25" t="n"/>
      <c r="E31" s="6" t="n"/>
      <c r="F31" s="8" t="n"/>
      <c r="G31" s="16" t="n"/>
      <c r="H31" s="79" t="n"/>
      <c r="I31" s="26" t="n"/>
    </row>
    <row r="32">
      <c r="A32" s="50" t="n"/>
      <c r="B32" s="22" t="n"/>
      <c r="C32" s="22" t="n"/>
      <c r="D32" s="25" t="n"/>
      <c r="E32" s="6" t="n"/>
      <c r="F32" s="8" t="n"/>
      <c r="G32" s="16" t="n"/>
      <c r="H32" s="79" t="n"/>
      <c r="I32" s="26" t="n"/>
    </row>
    <row r="33">
      <c r="A33" s="50" t="n"/>
      <c r="B33" s="22" t="n"/>
      <c r="C33" s="22" t="n"/>
      <c r="D33" s="25" t="n"/>
      <c r="E33" s="6" t="n"/>
      <c r="F33" s="8" t="n"/>
      <c r="G33" s="16" t="n"/>
      <c r="H33" s="79" t="n"/>
      <c r="I33" s="26" t="n"/>
    </row>
    <row r="34">
      <c r="A34" s="50" t="n"/>
      <c r="B34" s="22" t="n"/>
      <c r="C34" s="22" t="n"/>
      <c r="D34" s="25" t="n"/>
      <c r="E34" s="6" t="n"/>
      <c r="F34" s="8" t="n"/>
      <c r="G34" s="16" t="n"/>
      <c r="H34" s="79" t="n"/>
      <c r="I34" s="26" t="n"/>
    </row>
    <row r="35">
      <c r="A35" s="50" t="n"/>
      <c r="B35" s="22" t="n"/>
      <c r="C35" s="22" t="n"/>
      <c r="D35" s="25" t="n"/>
      <c r="E35" s="6" t="n"/>
      <c r="F35" s="8" t="n"/>
      <c r="G35" s="16" t="n"/>
      <c r="H35" s="79" t="n"/>
      <c r="I35" s="26" t="n"/>
    </row>
    <row r="36">
      <c r="A36" s="50" t="n"/>
      <c r="B36" s="22" t="n"/>
      <c r="C36" s="22" t="n"/>
      <c r="D36" s="25" t="n"/>
      <c r="E36" s="6" t="n"/>
      <c r="F36" s="8" t="n"/>
      <c r="G36" s="16" t="n"/>
      <c r="H36" s="79" t="n"/>
      <c r="I36" s="26" t="n"/>
    </row>
    <row r="37">
      <c r="A37" s="50" t="n"/>
      <c r="B37" s="22" t="n"/>
      <c r="C37" s="22" t="n"/>
      <c r="D37" s="25" t="n"/>
      <c r="E37" s="6" t="n"/>
      <c r="F37" s="8" t="n"/>
      <c r="G37" s="16" t="n"/>
      <c r="H37" s="79" t="n"/>
      <c r="I37" s="26" t="n"/>
    </row>
    <row r="38">
      <c r="A38" s="50" t="n"/>
      <c r="B38" s="22" t="n"/>
      <c r="C38" s="22" t="n"/>
      <c r="D38" s="25" t="n"/>
      <c r="E38" s="6" t="n"/>
      <c r="F38" s="8" t="n"/>
      <c r="G38" s="16" t="n"/>
      <c r="H38" s="79" t="n"/>
      <c r="I38" s="26" t="n"/>
    </row>
    <row r="39">
      <c r="A39" s="50" t="n"/>
      <c r="B39" s="22" t="n"/>
      <c r="C39" s="22" t="n"/>
      <c r="D39" s="25" t="n"/>
      <c r="E39" s="6" t="n"/>
      <c r="F39" s="8" t="n"/>
      <c r="G39" s="16" t="n"/>
      <c r="H39" s="79" t="n"/>
      <c r="I39" s="26" t="n"/>
    </row>
    <row r="40">
      <c r="A40" s="50" t="n"/>
      <c r="B40" s="22" t="n"/>
      <c r="C40" s="22" t="n"/>
      <c r="D40" s="25" t="n"/>
      <c r="E40" s="6" t="n"/>
      <c r="F40" s="8" t="n"/>
      <c r="G40" s="16" t="n"/>
      <c r="H40" s="79" t="n"/>
      <c r="I40" s="26" t="n"/>
    </row>
    <row r="41">
      <c r="A41" s="50" t="n"/>
      <c r="B41" s="22" t="n"/>
      <c r="C41" s="22" t="n"/>
      <c r="D41" s="25" t="n"/>
      <c r="E41" s="6" t="n"/>
      <c r="F41" s="8" t="n"/>
      <c r="G41" s="16" t="n"/>
      <c r="H41" s="79" t="n"/>
      <c r="I41" s="26" t="n"/>
    </row>
    <row r="42">
      <c r="A42" s="50" t="n"/>
      <c r="B42" s="22" t="n"/>
      <c r="C42" s="22" t="n"/>
      <c r="D42" s="25" t="n"/>
      <c r="E42" s="6" t="n"/>
      <c r="F42" s="8" t="n"/>
      <c r="G42" s="16" t="n"/>
      <c r="H42" s="79" t="n"/>
      <c r="I42" s="26" t="n"/>
    </row>
    <row r="43">
      <c r="A43" s="50" t="n"/>
      <c r="B43" s="22" t="n"/>
      <c r="C43" s="22" t="n"/>
      <c r="D43" s="25" t="n"/>
      <c r="E43" s="6" t="n"/>
      <c r="F43" s="8" t="n"/>
      <c r="G43" s="16" t="n"/>
      <c r="H43" s="79" t="n"/>
      <c r="I43" s="26" t="n"/>
    </row>
    <row r="44">
      <c r="A44" s="50" t="n"/>
      <c r="B44" s="22" t="n"/>
      <c r="C44" s="22" t="n"/>
      <c r="D44" s="25" t="n"/>
      <c r="E44" s="6" t="n"/>
      <c r="F44" s="8" t="n"/>
      <c r="G44" s="16" t="n"/>
      <c r="H44" s="79" t="n"/>
      <c r="I44" s="26" t="n"/>
    </row>
    <row r="45">
      <c r="A45" s="50" t="n"/>
      <c r="B45" s="22" t="n"/>
      <c r="C45" s="22" t="n"/>
      <c r="D45" s="25" t="n"/>
      <c r="E45" s="6" t="n"/>
      <c r="F45" s="8" t="n"/>
      <c r="G45" s="16" t="n"/>
      <c r="H45" s="79" t="n"/>
      <c r="I45" s="26" t="n"/>
    </row>
    <row r="46">
      <c r="A46" s="50" t="n"/>
      <c r="B46" s="22" t="n"/>
      <c r="C46" s="22" t="n"/>
      <c r="D46" s="25" t="n"/>
      <c r="E46" s="6" t="n"/>
      <c r="F46" s="8" t="n"/>
      <c r="G46" s="16" t="n"/>
      <c r="H46" s="79" t="n"/>
      <c r="I46" s="26" t="n"/>
    </row>
    <row r="47">
      <c r="A47" s="50" t="n"/>
      <c r="B47" s="22" t="n"/>
      <c r="C47" s="22" t="n"/>
      <c r="D47" s="25" t="n"/>
      <c r="E47" s="6" t="n"/>
      <c r="F47" s="8" t="n"/>
      <c r="G47" s="16" t="n"/>
      <c r="H47" s="79" t="n"/>
      <c r="I47" s="26" t="n"/>
    </row>
    <row r="48">
      <c r="A48" s="50" t="n"/>
      <c r="B48" s="22" t="n"/>
      <c r="C48" s="22" t="n"/>
      <c r="D48" s="25" t="n"/>
      <c r="E48" s="6" t="n"/>
      <c r="F48" s="8" t="n"/>
      <c r="G48" s="16" t="n"/>
      <c r="H48" s="79" t="n"/>
      <c r="I48" s="26" t="n"/>
    </row>
    <row r="49">
      <c r="A49" s="50" t="n"/>
      <c r="B49" s="22" t="n"/>
      <c r="C49" s="22" t="n"/>
      <c r="D49" s="25" t="n"/>
      <c r="E49" s="6" t="n"/>
      <c r="F49" s="8" t="n"/>
      <c r="G49" s="16" t="n"/>
      <c r="H49" s="79" t="n"/>
      <c r="I49" s="26" t="n"/>
    </row>
    <row r="50">
      <c r="A50" s="50" t="n"/>
      <c r="B50" s="22" t="n"/>
      <c r="C50" s="22" t="n"/>
      <c r="D50" s="25" t="n"/>
      <c r="E50" s="6" t="n"/>
      <c r="F50" s="8" t="n"/>
      <c r="G50" s="16" t="n"/>
      <c r="H50" s="79" t="n"/>
      <c r="I50" s="26" t="n"/>
    </row>
    <row r="51">
      <c r="A51" s="50" t="n"/>
      <c r="B51" s="22" t="n"/>
      <c r="C51" s="22" t="n"/>
      <c r="D51" s="25" t="n"/>
      <c r="E51" s="6" t="n"/>
      <c r="F51" s="8" t="n"/>
      <c r="G51" s="16" t="n"/>
      <c r="H51" s="79" t="n"/>
      <c r="I51" s="26" t="n"/>
    </row>
    <row r="52">
      <c r="A52" s="50" t="n"/>
      <c r="B52" s="22" t="n"/>
      <c r="C52" s="22" t="n"/>
      <c r="D52" s="25" t="n"/>
      <c r="E52" s="6" t="n"/>
      <c r="F52" s="8" t="n"/>
      <c r="G52" s="16" t="n"/>
      <c r="H52" s="79" t="n"/>
      <c r="I52" s="26" t="n"/>
    </row>
    <row r="53">
      <c r="A53" s="50" t="n"/>
      <c r="B53" s="22" t="n"/>
      <c r="C53" s="22" t="n"/>
      <c r="D53" s="25" t="n"/>
      <c r="E53" s="6" t="n"/>
      <c r="F53" s="8" t="n"/>
      <c r="G53" s="16" t="n"/>
      <c r="H53" s="79" t="n"/>
      <c r="I53" s="26" t="n"/>
    </row>
    <row r="54">
      <c r="A54" s="50" t="n"/>
      <c r="B54" s="22" t="n"/>
      <c r="C54" s="22" t="n"/>
      <c r="D54" s="25" t="n"/>
      <c r="E54" s="6" t="n"/>
      <c r="F54" s="8" t="n"/>
      <c r="G54" s="16" t="n"/>
      <c r="H54" s="79" t="n"/>
      <c r="I54" s="26" t="n"/>
    </row>
    <row r="55">
      <c r="A55" s="50" t="n"/>
      <c r="B55" s="22" t="n"/>
      <c r="C55" s="22" t="n"/>
      <c r="D55" s="25" t="n"/>
      <c r="E55" s="6" t="n"/>
      <c r="F55" s="8" t="n"/>
      <c r="G55" s="16" t="n"/>
      <c r="H55" s="79" t="n"/>
      <c r="I55" s="26" t="n"/>
    </row>
    <row r="56">
      <c r="A56" s="50" t="n"/>
      <c r="B56" s="22" t="n"/>
      <c r="C56" s="22" t="n"/>
      <c r="D56" s="25" t="n"/>
      <c r="E56" s="6" t="n"/>
      <c r="F56" s="8" t="n"/>
      <c r="G56" s="16" t="n"/>
      <c r="H56" s="79" t="n"/>
      <c r="I56" s="26" t="n"/>
    </row>
    <row r="57">
      <c r="A57" s="50" t="n"/>
      <c r="B57" s="22" t="n"/>
      <c r="C57" s="22" t="n"/>
      <c r="D57" s="25" t="n"/>
      <c r="E57" s="6" t="n"/>
      <c r="F57" s="8" t="n"/>
      <c r="G57" s="16" t="n"/>
      <c r="H57" s="79" t="n"/>
      <c r="I57" s="26" t="n"/>
    </row>
    <row r="58">
      <c r="A58" s="50" t="n"/>
      <c r="B58" s="22" t="n"/>
      <c r="C58" s="22" t="n"/>
      <c r="D58" s="25" t="n"/>
      <c r="E58" s="6" t="n"/>
      <c r="F58" s="8" t="n"/>
      <c r="G58" s="16" t="n"/>
      <c r="H58" s="79" t="n"/>
      <c r="I58" s="26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26" t="n"/>
    </row>
  </sheetData>
  <mergeCells count="5">
    <mergeCell ref="A5:C5"/>
    <mergeCell ref="A6:C6"/>
    <mergeCell ref="A3:C3"/>
    <mergeCell ref="A4:C4"/>
    <mergeCell ref="A2:C2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AI59"/>
  <sheetViews>
    <sheetView workbookViewId="0">
      <selection activeCell="A1" sqref="A1"/>
    </sheetView>
  </sheetViews>
  <sheetFormatPr baseColWidth="8" defaultColWidth="9.140625" defaultRowHeight="15"/>
  <cols>
    <col width="3.140625" customWidth="1" style="1" min="1" max="1"/>
    <col width="4.28515625" customWidth="1" style="2" min="2" max="2"/>
    <col width="12.85546875" bestFit="1" customWidth="1" style="2" min="3" max="3"/>
    <col width="38.5703125" customWidth="1" style="1" min="4" max="4"/>
    <col width="5.7109375" customWidth="1" style="1" min="5" max="10"/>
    <col width="7.85546875" bestFit="1" customWidth="1" style="1" min="11" max="11"/>
    <col width="5.7109375" customWidth="1" style="1" min="12" max="15"/>
    <col width="7.140625" customWidth="1" style="1" min="16" max="16"/>
    <col width="5.7109375" customWidth="1" style="1" min="17" max="20"/>
    <col width="7.85546875" bestFit="1" customWidth="1" style="1" min="21" max="21"/>
    <col width="5.7109375" customWidth="1" style="1" min="22" max="25"/>
    <col width="7.85546875" bestFit="1" customWidth="1" style="1" min="26" max="26"/>
    <col width="13" customWidth="1" style="1" min="27" max="27"/>
    <col width="12.28515625" customWidth="1" style="1" min="28" max="28"/>
    <col width="11" customWidth="1" style="1" min="29" max="29"/>
    <col width="12.28515625" customWidth="1" style="1" min="30" max="30"/>
    <col width="8" customWidth="1" style="1" min="31" max="31"/>
    <col width="14.7109375" customWidth="1" style="1" min="32" max="32"/>
    <col width="10.5703125" customWidth="1" style="1" min="33" max="33"/>
    <col width="11.28515625" customWidth="1" style="1" min="34" max="34"/>
    <col width="23.5703125" customWidth="1" style="1" min="35" max="35"/>
    <col width="9.140625" customWidth="1" style="1" min="36" max="16384"/>
  </cols>
  <sheetData>
    <row r="1" ht="25.5" customHeight="1" thickBot="1">
      <c r="A1" s="26" t="n"/>
      <c r="B1" s="27" t="n"/>
      <c r="C1" s="28" t="inlineStr">
        <is>
          <t>Section:</t>
        </is>
      </c>
      <c r="D1" s="29" t="inlineStr">
        <is>
          <t>4A</t>
        </is>
      </c>
      <c r="E1" s="30" t="inlineStr">
        <is>
          <t>Attendance &amp; Effort Sheet</t>
        </is>
      </c>
      <c r="F1" s="26" t="n"/>
      <c r="G1" s="26" t="n"/>
      <c r="H1" s="26" t="n"/>
      <c r="I1" s="31" t="n"/>
      <c r="J1" s="31" t="n"/>
      <c r="K1" s="31" t="n"/>
      <c r="L1" s="31" t="n"/>
      <c r="M1" s="31" t="n"/>
      <c r="N1" s="32" t="n"/>
      <c r="O1" s="32" t="n"/>
      <c r="P1" s="65" t="inlineStr">
        <is>
          <t>P=Present</t>
        </is>
      </c>
      <c r="Q1" s="66" t="n"/>
      <c r="R1" s="66" t="n"/>
      <c r="S1" s="26" t="n"/>
      <c r="T1" s="26" t="n"/>
      <c r="U1" s="32" t="n"/>
      <c r="V1" s="32" t="n"/>
      <c r="W1" s="32" t="n"/>
      <c r="X1" s="32" t="n"/>
      <c r="Y1" s="32" t="n"/>
      <c r="Z1" s="32" t="n"/>
      <c r="AA1" s="33" t="n"/>
      <c r="AB1" s="26" t="n"/>
      <c r="AC1" s="26" t="n"/>
      <c r="AD1" s="26" t="n"/>
      <c r="AE1" s="26" t="n"/>
      <c r="AF1" s="33" t="n"/>
      <c r="AG1" s="26" t="n"/>
      <c r="AH1" s="26" t="n"/>
      <c r="AI1" s="26" t="n"/>
    </row>
    <row r="2" ht="24" customHeight="1">
      <c r="A2" s="89" t="inlineStr">
        <is>
          <t>Teacher Name:</t>
        </is>
      </c>
      <c r="B2" s="94" t="n"/>
      <c r="C2" s="95" t="n"/>
      <c r="D2" s="34" t="n"/>
      <c r="E2" s="35" t="inlineStr">
        <is>
          <t xml:space="preserve">Computing, Creative Design and Innovation </t>
        </is>
      </c>
      <c r="F2" s="26" t="n"/>
      <c r="G2" s="26" t="n"/>
      <c r="H2" s="26" t="n"/>
      <c r="I2" s="31" t="n"/>
      <c r="J2" s="31" t="n"/>
      <c r="K2" s="31" t="n"/>
      <c r="L2" s="31" t="n"/>
      <c r="M2" s="31" t="n"/>
      <c r="N2" s="32" t="n"/>
      <c r="O2" s="32" t="n"/>
      <c r="P2" s="67" t="inlineStr">
        <is>
          <t>A=Absent</t>
        </is>
      </c>
      <c r="Q2" s="68" t="n"/>
      <c r="R2" s="68" t="n"/>
      <c r="S2" s="26" t="n"/>
      <c r="T2" s="26" t="n"/>
      <c r="U2" s="36" t="n"/>
      <c r="V2" s="36" t="n"/>
      <c r="W2" s="36" t="n"/>
      <c r="X2" s="36" t="n"/>
      <c r="Y2" s="36" t="n"/>
      <c r="Z2" s="36" t="n"/>
      <c r="AA2" s="37" t="n"/>
      <c r="AB2" s="37" t="n"/>
      <c r="AC2" s="37" t="n"/>
      <c r="AD2" s="37" t="n"/>
      <c r="AE2" s="37" t="n"/>
      <c r="AF2" s="26" t="n"/>
      <c r="AG2" s="26" t="n"/>
      <c r="AH2" s="26" t="n"/>
      <c r="AI2" s="26" t="n"/>
    </row>
    <row r="3" ht="29.25" customHeight="1">
      <c r="A3" s="89" t="inlineStr">
        <is>
          <t>School ID:</t>
        </is>
      </c>
      <c r="B3" s="94" t="n"/>
      <c r="C3" s="95" t="n"/>
      <c r="D3" s="34" t="n"/>
      <c r="E3" s="38" t="inlineStr">
        <is>
          <t>Grade 4</t>
        </is>
      </c>
      <c r="F3" s="26" t="n"/>
      <c r="G3" s="26" t="n"/>
      <c r="H3" s="26" t="n"/>
      <c r="I3" s="26" t="n"/>
      <c r="J3" s="39" t="n"/>
      <c r="K3" s="31" t="n"/>
      <c r="L3" s="31" t="n"/>
      <c r="M3" s="31" t="n"/>
      <c r="N3" s="36" t="n"/>
      <c r="O3" s="36" t="n"/>
      <c r="P3" s="69" t="inlineStr">
        <is>
          <t>L=Late</t>
        </is>
      </c>
      <c r="Q3" s="70" t="n"/>
      <c r="R3" s="70" t="n"/>
      <c r="S3" s="26" t="n"/>
      <c r="T3" s="26" t="n"/>
      <c r="U3" s="36" t="n"/>
      <c r="V3" s="36" t="n"/>
      <c r="W3" s="36" t="n"/>
      <c r="X3" s="36" t="n"/>
      <c r="Y3" s="36" t="n"/>
      <c r="Z3" s="36" t="n"/>
      <c r="AA3" s="37" t="n"/>
      <c r="AB3" s="37" t="n"/>
      <c r="AC3" s="37" t="n"/>
      <c r="AD3" s="37" t="n"/>
      <c r="AE3" s="37" t="n"/>
      <c r="AF3" s="26" t="n"/>
      <c r="AG3" s="26" t="n"/>
      <c r="AH3" s="26" t="n"/>
      <c r="AI3" s="26" t="n"/>
    </row>
    <row r="4" ht="24.75" customHeight="1" thickBot="1">
      <c r="A4" s="89" t="inlineStr">
        <is>
          <t>School Name:</t>
        </is>
      </c>
      <c r="B4" s="94" t="n"/>
      <c r="C4" s="95" t="n"/>
      <c r="D4" s="34" t="n"/>
      <c r="E4" s="40" t="inlineStr">
        <is>
          <t>Term 2 - 2024/2025</t>
        </is>
      </c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41" t="n"/>
      <c r="AB4" s="41" t="n"/>
      <c r="AC4" s="41" t="n"/>
      <c r="AD4" s="41" t="n"/>
      <c r="AE4" s="41" t="n"/>
      <c r="AF4" s="41" t="n"/>
      <c r="AG4" s="41" t="n"/>
      <c r="AH4" s="26" t="n"/>
      <c r="AI4" s="26" t="n"/>
    </row>
    <row r="5" ht="23.25" customHeight="1">
      <c r="A5" s="89" t="inlineStr">
        <is>
          <t>Emirate/Area:</t>
        </is>
      </c>
      <c r="B5" s="94" t="n"/>
      <c r="C5" s="95" t="n"/>
      <c r="D5" s="34" t="n"/>
      <c r="E5" s="42" t="inlineStr">
        <is>
          <t>1. Student 'attendance' and 'effort' is part of the total of the School-Based mark. Please ensure that you record all attendance here.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5" t="n"/>
      <c r="AC5" s="45" t="n"/>
      <c r="AD5" s="45" t="n"/>
      <c r="AE5" s="45" t="n"/>
      <c r="AF5" s="45" t="n"/>
      <c r="AG5" s="45" t="n"/>
      <c r="AH5" s="45" t="n"/>
      <c r="AI5" s="45" t="n"/>
    </row>
    <row r="6" ht="24.75" customHeight="1">
      <c r="A6" s="89" t="inlineStr">
        <is>
          <t>Council:</t>
        </is>
      </c>
      <c r="B6" s="94" t="n"/>
      <c r="C6" s="95" t="n"/>
      <c r="D6" s="34" t="n"/>
      <c r="E6" s="46" t="inlineStr">
        <is>
          <t>2. Consult your principal for late/absent policy</t>
        </is>
      </c>
      <c r="F6" s="47" t="n"/>
      <c r="G6" s="47" t="n"/>
      <c r="H6" s="47" t="n"/>
      <c r="I6" s="47" t="n"/>
      <c r="J6" s="47" t="n"/>
      <c r="K6" s="47" t="n"/>
      <c r="L6" s="47" t="n"/>
      <c r="M6" s="47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26" t="n"/>
      <c r="AC6" s="26" t="n"/>
      <c r="AD6" s="26" t="n"/>
      <c r="AE6" s="26" t="n"/>
      <c r="AF6" s="26" t="n"/>
      <c r="AG6" s="26" t="n"/>
      <c r="AH6" s="26" t="n"/>
      <c r="AI6" s="26" t="n"/>
    </row>
    <row r="7" ht="18.75" customHeight="1">
      <c r="A7" s="32" t="n"/>
      <c r="B7" s="27" t="n"/>
      <c r="C7" s="48" t="n"/>
      <c r="D7" s="49" t="n"/>
      <c r="E7" s="82" t="inlineStr">
        <is>
          <t>Week 1</t>
        </is>
      </c>
      <c r="F7" s="96" t="n"/>
      <c r="G7" s="81" t="inlineStr">
        <is>
          <t>Week 2</t>
        </is>
      </c>
      <c r="H7" s="96" t="n"/>
      <c r="I7" s="82" t="inlineStr">
        <is>
          <t>Week 3</t>
        </is>
      </c>
      <c r="J7" s="96" t="n"/>
      <c r="K7" s="20" t="inlineStr">
        <is>
          <t>Effort</t>
        </is>
      </c>
      <c r="L7" s="81" t="inlineStr">
        <is>
          <t>Week 4</t>
        </is>
      </c>
      <c r="M7" s="96" t="n"/>
      <c r="N7" s="82" t="inlineStr">
        <is>
          <t>Week 5</t>
        </is>
      </c>
      <c r="O7" s="96" t="n"/>
      <c r="P7" s="20" t="inlineStr">
        <is>
          <t>Effort</t>
        </is>
      </c>
      <c r="Q7" s="81" t="inlineStr">
        <is>
          <t>Week 6</t>
        </is>
      </c>
      <c r="R7" s="96" t="n"/>
      <c r="S7" s="82" t="inlineStr">
        <is>
          <t>Week 7</t>
        </is>
      </c>
      <c r="T7" s="96" t="n"/>
      <c r="U7" s="20" t="inlineStr">
        <is>
          <t>Effort</t>
        </is>
      </c>
      <c r="V7" s="81" t="inlineStr">
        <is>
          <t>Week 8</t>
        </is>
      </c>
      <c r="W7" s="96" t="n"/>
      <c r="X7" s="82" t="inlineStr">
        <is>
          <t>Week 9</t>
        </is>
      </c>
      <c r="Y7" s="96" t="n"/>
      <c r="Z7" s="20" t="inlineStr">
        <is>
          <t>Effort</t>
        </is>
      </c>
      <c r="AA7" s="20" t="inlineStr">
        <is>
          <t>Avg</t>
        </is>
      </c>
      <c r="AB7" s="26" t="n"/>
      <c r="AC7" s="26" t="n"/>
      <c r="AD7" s="26" t="n"/>
      <c r="AE7" s="26" t="n"/>
      <c r="AF7" s="26" t="n"/>
      <c r="AG7" s="26" t="n"/>
      <c r="AH7" s="26" t="n"/>
      <c r="AI7" s="26" t="n"/>
    </row>
    <row r="8" ht="50.25" customHeight="1">
      <c r="A8" s="26" t="n"/>
      <c r="B8" s="51" t="inlineStr">
        <is>
          <t>No</t>
        </is>
      </c>
      <c r="C8" s="51" t="inlineStr">
        <is>
          <t>Student #</t>
        </is>
      </c>
      <c r="D8" s="52" t="inlineStr">
        <is>
          <t>Student Name</t>
        </is>
      </c>
      <c r="E8" s="85" t="n">
        <v>45663</v>
      </c>
      <c r="F8" s="96" t="n"/>
      <c r="G8" s="85" t="n">
        <v>45670</v>
      </c>
      <c r="H8" s="96" t="n"/>
      <c r="I8" s="85" t="n">
        <v>45677</v>
      </c>
      <c r="J8" s="96" t="n"/>
      <c r="K8" s="24" t="inlineStr">
        <is>
          <t>10M</t>
        </is>
      </c>
      <c r="L8" s="85" t="n">
        <v>45684</v>
      </c>
      <c r="M8" s="96" t="n"/>
      <c r="N8" s="85" t="n">
        <v>45691</v>
      </c>
      <c r="O8" s="96" t="n"/>
      <c r="P8" s="24" t="inlineStr">
        <is>
          <t>10M</t>
        </is>
      </c>
      <c r="Q8" s="85" t="n">
        <v>45698</v>
      </c>
      <c r="R8" s="96" t="n"/>
      <c r="S8" s="85" t="n">
        <v>45705</v>
      </c>
      <c r="T8" s="96" t="n"/>
      <c r="U8" s="24" t="inlineStr">
        <is>
          <t>10M</t>
        </is>
      </c>
      <c r="V8" s="85" t="n">
        <v>45712</v>
      </c>
      <c r="W8" s="96" t="n"/>
      <c r="X8" s="85" t="n">
        <v>45719</v>
      </c>
      <c r="Y8" s="96" t="n"/>
      <c r="Z8" s="24" t="inlineStr">
        <is>
          <t>10M</t>
        </is>
      </c>
      <c r="AA8" s="21" t="inlineStr">
        <is>
          <t>Effort</t>
        </is>
      </c>
      <c r="AB8" s="71" t="inlineStr">
        <is>
          <t>#Present</t>
        </is>
      </c>
      <c r="AC8" s="72" t="inlineStr">
        <is>
          <t>#Late</t>
        </is>
      </c>
      <c r="AD8" s="72" t="inlineStr">
        <is>
          <t>#Absence</t>
        </is>
      </c>
      <c r="AE8" s="73" t="inlineStr">
        <is>
          <t>Tot Att</t>
        </is>
      </c>
      <c r="AF8" s="73" t="inlineStr">
        <is>
          <t>Attendance Mark (10)</t>
        </is>
      </c>
      <c r="AG8" s="73" t="inlineStr">
        <is>
          <t>Effort Mark (10)</t>
        </is>
      </c>
      <c r="AH8" s="73" t="inlineStr">
        <is>
          <t>Total Marks (20)</t>
        </is>
      </c>
      <c r="AI8" s="74" t="inlineStr">
        <is>
          <t>Comments</t>
        </is>
      </c>
    </row>
    <row r="9">
      <c r="A9" s="50" t="n"/>
      <c r="B9" s="4" t="n">
        <v>1</v>
      </c>
      <c r="C9" s="4" t="n">
        <v>1</v>
      </c>
      <c r="D9" s="7" t="inlineStr">
        <is>
          <t>بيان عبدالله صالح مبارك المصعبي</t>
        </is>
      </c>
      <c r="E9" s="15" t="inlineStr">
        <is>
          <t>NA</t>
        </is>
      </c>
      <c r="F9" s="15" t="inlineStr">
        <is>
          <t>NA</t>
        </is>
      </c>
      <c r="G9" s="4" t="inlineStr">
        <is>
          <t>P</t>
        </is>
      </c>
      <c r="H9" s="4" t="inlineStr">
        <is>
          <t>P</t>
        </is>
      </c>
      <c r="I9" s="4" t="inlineStr">
        <is>
          <t>P</t>
        </is>
      </c>
      <c r="J9" s="4" t="inlineStr">
        <is>
          <t>P</t>
        </is>
      </c>
      <c r="K9" s="9" t="n">
        <v>10</v>
      </c>
      <c r="L9" s="4" t="inlineStr">
        <is>
          <t>P</t>
        </is>
      </c>
      <c r="M9" s="4" t="inlineStr">
        <is>
          <t>P</t>
        </is>
      </c>
      <c r="N9" s="4" t="inlineStr">
        <is>
          <t>P</t>
        </is>
      </c>
      <c r="O9" s="4" t="inlineStr">
        <is>
          <t>P</t>
        </is>
      </c>
      <c r="P9" s="9" t="n">
        <v>10</v>
      </c>
      <c r="Q9" s="4" t="inlineStr">
        <is>
          <t>P</t>
        </is>
      </c>
      <c r="R9" s="4" t="inlineStr">
        <is>
          <t>P</t>
        </is>
      </c>
      <c r="S9" s="4" t="inlineStr">
        <is>
          <t>P</t>
        </is>
      </c>
      <c r="T9" s="4" t="inlineStr">
        <is>
          <t>P</t>
        </is>
      </c>
      <c r="U9" s="9" t="n">
        <v>10</v>
      </c>
      <c r="V9" s="4" t="inlineStr">
        <is>
          <t>P</t>
        </is>
      </c>
      <c r="W9" s="4" t="inlineStr">
        <is>
          <t>P</t>
        </is>
      </c>
      <c r="X9" s="4" t="inlineStr">
        <is>
          <t>P</t>
        </is>
      </c>
      <c r="Y9" s="4" t="inlineStr">
        <is>
          <t>P</t>
        </is>
      </c>
      <c r="Z9" s="9" t="n">
        <v>10</v>
      </c>
      <c r="AA9" s="10">
        <f>AVERAGE(K9,P9,U9,Z9)</f>
        <v/>
      </c>
      <c r="AB9" s="11">
        <f>COUNTIF(G9:Z9,"P")</f>
        <v/>
      </c>
      <c r="AC9" s="12">
        <f>COUNTIF(G9:Z9,"L")</f>
        <v/>
      </c>
      <c r="AD9" s="13">
        <f>COUNTIF(G9:Z9,"A")</f>
        <v/>
      </c>
      <c r="AE9" s="14">
        <f>AB9+AC9</f>
        <v/>
      </c>
      <c r="AF9" s="8">
        <f>AE9/16*10</f>
        <v/>
      </c>
      <c r="AG9" s="8">
        <f>AA9</f>
        <v/>
      </c>
      <c r="AH9" s="8" t="n">
        <v>18</v>
      </c>
      <c r="AI9" s="5" t="inlineStr">
        <is>
          <t>Excellent work and effort</t>
        </is>
      </c>
    </row>
    <row r="10">
      <c r="A10" s="50" t="n"/>
      <c r="B10" s="4" t="n">
        <v>2</v>
      </c>
      <c r="C10" s="4" t="n">
        <v>2</v>
      </c>
      <c r="D10" s="7" t="inlineStr">
        <is>
          <t>جورى حمد احمد عبدالله البلوشي</t>
        </is>
      </c>
      <c r="E10" s="15" t="inlineStr">
        <is>
          <t>NA</t>
        </is>
      </c>
      <c r="F10" s="15" t="inlineStr">
        <is>
          <t>NA</t>
        </is>
      </c>
      <c r="G10" s="4" t="inlineStr">
        <is>
          <t>P</t>
        </is>
      </c>
      <c r="H10" s="4" t="inlineStr">
        <is>
          <t>P</t>
        </is>
      </c>
      <c r="I10" s="4" t="inlineStr">
        <is>
          <t>P</t>
        </is>
      </c>
      <c r="J10" s="4" t="inlineStr">
        <is>
          <t>P</t>
        </is>
      </c>
      <c r="K10" s="9" t="n">
        <v>10</v>
      </c>
      <c r="L10" s="4" t="inlineStr">
        <is>
          <t>A</t>
        </is>
      </c>
      <c r="M10" s="4" t="inlineStr">
        <is>
          <t>A</t>
        </is>
      </c>
      <c r="N10" s="4" t="inlineStr">
        <is>
          <t>L</t>
        </is>
      </c>
      <c r="O10" s="4" t="inlineStr">
        <is>
          <t>P</t>
        </is>
      </c>
      <c r="P10" s="9" t="n">
        <v>10</v>
      </c>
      <c r="Q10" s="4" t="inlineStr">
        <is>
          <t>P</t>
        </is>
      </c>
      <c r="R10" s="4" t="inlineStr">
        <is>
          <t>P</t>
        </is>
      </c>
      <c r="S10" s="4" t="inlineStr">
        <is>
          <t>P</t>
        </is>
      </c>
      <c r="T10" s="4" t="inlineStr">
        <is>
          <t>P</t>
        </is>
      </c>
      <c r="U10" s="9" t="n">
        <v>10</v>
      </c>
      <c r="V10" s="4" t="inlineStr">
        <is>
          <t>P</t>
        </is>
      </c>
      <c r="W10" s="4" t="inlineStr">
        <is>
          <t>P</t>
        </is>
      </c>
      <c r="X10" s="4" t="inlineStr">
        <is>
          <t>P</t>
        </is>
      </c>
      <c r="Y10" s="4" t="inlineStr">
        <is>
          <t>P</t>
        </is>
      </c>
      <c r="Z10" s="9" t="n">
        <v>10</v>
      </c>
      <c r="AA10" s="10">
        <f>AVERAGE(K10,P10,U10,Z10)</f>
        <v/>
      </c>
      <c r="AB10" s="11">
        <f>COUNTIF(G10:Z10,"P")</f>
        <v/>
      </c>
      <c r="AC10" s="12">
        <f>COUNTIF(G10:Z10,"L")</f>
        <v/>
      </c>
      <c r="AD10" s="13">
        <f>COUNTIF(G10:Z10,"A")</f>
        <v/>
      </c>
      <c r="AE10" s="14">
        <f>AB10+AC10</f>
        <v/>
      </c>
      <c r="AF10" s="8">
        <f>AE10/16*10</f>
        <v/>
      </c>
      <c r="AG10" s="8">
        <f>AA10</f>
        <v/>
      </c>
      <c r="AH10" s="8" t="n">
        <v>18</v>
      </c>
      <c r="AI10" s="5" t="n"/>
    </row>
    <row r="11">
      <c r="A11" s="50" t="n"/>
      <c r="B11" s="4" t="n">
        <v>3</v>
      </c>
      <c r="C11" s="4" t="n">
        <v>3</v>
      </c>
      <c r="D11" s="7" t="inlineStr">
        <is>
          <t>حامد فارس محمد سيف الكعبي</t>
        </is>
      </c>
      <c r="E11" s="15" t="inlineStr">
        <is>
          <t>NA</t>
        </is>
      </c>
      <c r="F11" s="15" t="inlineStr">
        <is>
          <t>NA</t>
        </is>
      </c>
      <c r="G11" s="4" t="inlineStr">
        <is>
          <t>P</t>
        </is>
      </c>
      <c r="H11" s="4" t="inlineStr">
        <is>
          <t>P</t>
        </is>
      </c>
      <c r="I11" s="4" t="inlineStr">
        <is>
          <t>P</t>
        </is>
      </c>
      <c r="J11" s="4" t="inlineStr">
        <is>
          <t>A</t>
        </is>
      </c>
      <c r="K11" s="9" t="n">
        <v>5</v>
      </c>
      <c r="L11" s="4" t="inlineStr">
        <is>
          <t>A</t>
        </is>
      </c>
      <c r="M11" s="4" t="inlineStr">
        <is>
          <t>A</t>
        </is>
      </c>
      <c r="N11" s="4" t="inlineStr">
        <is>
          <t>P</t>
        </is>
      </c>
      <c r="O11" s="4" t="inlineStr">
        <is>
          <t>P</t>
        </is>
      </c>
      <c r="P11" s="9" t="n">
        <v>5</v>
      </c>
      <c r="Q11" s="4" t="inlineStr">
        <is>
          <t>a</t>
        </is>
      </c>
      <c r="R11" s="4" t="inlineStr">
        <is>
          <t>A</t>
        </is>
      </c>
      <c r="S11" s="4" t="inlineStr">
        <is>
          <t>P</t>
        </is>
      </c>
      <c r="T11" s="4" t="inlineStr">
        <is>
          <t>P</t>
        </is>
      </c>
      <c r="U11" s="9" t="n">
        <v>5</v>
      </c>
      <c r="V11" s="4" t="inlineStr">
        <is>
          <t>a</t>
        </is>
      </c>
      <c r="W11" s="4" t="inlineStr">
        <is>
          <t>A</t>
        </is>
      </c>
      <c r="X11" s="4" t="inlineStr">
        <is>
          <t>a</t>
        </is>
      </c>
      <c r="Y11" s="4" t="inlineStr">
        <is>
          <t>a</t>
        </is>
      </c>
      <c r="Z11" s="9" t="n">
        <v>5</v>
      </c>
      <c r="AA11" s="10">
        <f>AVERAGE(K11,P11,U11,Z11)</f>
        <v/>
      </c>
      <c r="AB11" s="11">
        <f>COUNTIF(G11:Z11,"P")</f>
        <v/>
      </c>
      <c r="AC11" s="12">
        <f>COUNTIF(G11:Z11,"L")</f>
        <v/>
      </c>
      <c r="AD11" s="13">
        <f>COUNTIF(G11:Z11,"A")</f>
        <v/>
      </c>
      <c r="AE11" s="14">
        <f>AB11+AC11</f>
        <v/>
      </c>
      <c r="AF11" s="8">
        <f>AE11/16*10</f>
        <v/>
      </c>
      <c r="AG11" s="8">
        <f>AA11</f>
        <v/>
      </c>
      <c r="AH11" s="8" t="n">
        <v>20</v>
      </c>
      <c r="AI11" s="5" t="n"/>
    </row>
    <row r="12">
      <c r="A12" s="50" t="n"/>
      <c r="B12" s="4" t="n">
        <v>4</v>
      </c>
      <c r="C12" s="4" t="n">
        <v>4</v>
      </c>
      <c r="D12" s="7" t="inlineStr">
        <is>
          <t>حلا حمد مبارك بن شيخه المرى</t>
        </is>
      </c>
      <c r="E12" s="15" t="inlineStr">
        <is>
          <t>NA</t>
        </is>
      </c>
      <c r="F12" s="15" t="inlineStr">
        <is>
          <t>NA</t>
        </is>
      </c>
      <c r="G12" s="4" t="n"/>
      <c r="H12" s="4" t="n"/>
      <c r="I12" s="4" t="n"/>
      <c r="J12" s="4" t="n"/>
      <c r="K12" s="9" t="n">
        <v>0</v>
      </c>
      <c r="L12" s="4" t="n"/>
      <c r="M12" s="4" t="n"/>
      <c r="N12" s="4" t="n"/>
      <c r="O12" s="4" t="n"/>
      <c r="P12" s="9" t="n">
        <v>0</v>
      </c>
      <c r="Q12" s="4" t="n"/>
      <c r="R12" s="4" t="n"/>
      <c r="S12" s="4" t="n"/>
      <c r="T12" s="4" t="n"/>
      <c r="U12" s="9" t="n">
        <v>0</v>
      </c>
      <c r="V12" s="4" t="n"/>
      <c r="W12" s="4" t="n"/>
      <c r="X12" s="4" t="n"/>
      <c r="Y12" s="4" t="n"/>
      <c r="Z12" s="9" t="n">
        <v>0</v>
      </c>
      <c r="AA12" s="10">
        <f>AVERAGE(K12,P12,U12,Z12)</f>
        <v/>
      </c>
      <c r="AB12" s="11">
        <f>COUNTIF(G12:Z12,"P")</f>
        <v/>
      </c>
      <c r="AC12" s="12">
        <f>COUNTIF(G12:Z12,"L")</f>
        <v/>
      </c>
      <c r="AD12" s="13">
        <f>COUNTIF(G12:Z12,"A")</f>
        <v/>
      </c>
      <c r="AE12" s="14">
        <f>AB12+AC12</f>
        <v/>
      </c>
      <c r="AF12" s="8">
        <f>AE12/16*10</f>
        <v/>
      </c>
      <c r="AG12" s="8">
        <f>AA12</f>
        <v/>
      </c>
      <c r="AH12" s="8" t="n">
        <v>18</v>
      </c>
      <c r="AI12" s="5" t="n"/>
    </row>
    <row r="13">
      <c r="A13" s="50" t="n"/>
      <c r="B13" s="4" t="n">
        <v>5</v>
      </c>
      <c r="C13" s="4" t="n">
        <v>5</v>
      </c>
      <c r="D13" s="7" t="inlineStr">
        <is>
          <t>حمد عبدالله سعيد سبيت الكعبي</t>
        </is>
      </c>
      <c r="E13" s="15" t="inlineStr">
        <is>
          <t>NA</t>
        </is>
      </c>
      <c r="F13" s="15" t="inlineStr">
        <is>
          <t>NA</t>
        </is>
      </c>
      <c r="G13" s="4" t="n"/>
      <c r="H13" s="4" t="n"/>
      <c r="I13" s="4" t="n"/>
      <c r="J13" s="4" t="n"/>
      <c r="K13" s="9" t="n">
        <v>0</v>
      </c>
      <c r="L13" s="4" t="n"/>
      <c r="M13" s="4" t="n"/>
      <c r="N13" s="4" t="n"/>
      <c r="O13" s="4" t="n"/>
      <c r="P13" s="9" t="n">
        <v>0</v>
      </c>
      <c r="Q13" s="4" t="n"/>
      <c r="R13" s="4" t="n"/>
      <c r="S13" s="4" t="n"/>
      <c r="T13" s="4" t="n"/>
      <c r="U13" s="9" t="n">
        <v>0</v>
      </c>
      <c r="V13" s="4" t="n"/>
      <c r="W13" s="4" t="n"/>
      <c r="X13" s="4" t="n"/>
      <c r="Y13" s="4" t="n"/>
      <c r="Z13" s="9" t="n">
        <v>0</v>
      </c>
      <c r="AA13" s="10">
        <f>AVERAGE(K13,P13,U13,Z13)</f>
        <v/>
      </c>
      <c r="AB13" s="11">
        <f>COUNTIF(G13:Z13,"P")</f>
        <v/>
      </c>
      <c r="AC13" s="12">
        <f>COUNTIF(G13:Z13,"L")</f>
        <v/>
      </c>
      <c r="AD13" s="13">
        <f>COUNTIF(G13:Z13,"A")</f>
        <v/>
      </c>
      <c r="AE13" s="14">
        <f>AB13+AC13</f>
        <v/>
      </c>
      <c r="AF13" s="8">
        <f>AE13/16*10</f>
        <v/>
      </c>
      <c r="AG13" s="8">
        <f>AA13</f>
        <v/>
      </c>
      <c r="AH13" s="8" t="n">
        <v>20</v>
      </c>
      <c r="AI13" s="5" t="n"/>
    </row>
    <row r="14">
      <c r="A14" s="50" t="n"/>
      <c r="B14" s="4" t="n">
        <v>6</v>
      </c>
      <c r="C14" s="4" t="n">
        <v>6</v>
      </c>
      <c r="D14" s="7" t="inlineStr">
        <is>
          <t>حمدان عبدالله محمد وهيب احمد</t>
        </is>
      </c>
      <c r="E14" s="15" t="inlineStr">
        <is>
          <t>NA</t>
        </is>
      </c>
      <c r="F14" s="15" t="inlineStr">
        <is>
          <t>NA</t>
        </is>
      </c>
      <c r="G14" s="4" t="n"/>
      <c r="H14" s="4" t="n"/>
      <c r="I14" s="4" t="n"/>
      <c r="J14" s="4" t="n"/>
      <c r="K14" s="9" t="n">
        <v>0</v>
      </c>
      <c r="L14" s="4" t="n"/>
      <c r="M14" s="4" t="n"/>
      <c r="N14" s="4" t="n"/>
      <c r="O14" s="4" t="n"/>
      <c r="P14" s="9" t="n">
        <v>0</v>
      </c>
      <c r="Q14" s="4" t="n"/>
      <c r="R14" s="4" t="n"/>
      <c r="S14" s="4" t="n"/>
      <c r="T14" s="4" t="n"/>
      <c r="U14" s="9" t="n">
        <v>0</v>
      </c>
      <c r="V14" s="4" t="n"/>
      <c r="W14" s="4" t="n"/>
      <c r="X14" s="4" t="n"/>
      <c r="Y14" s="4" t="n"/>
      <c r="Z14" s="9" t="n">
        <v>0</v>
      </c>
      <c r="AA14" s="10">
        <f>AVERAGE(K14,P14,U14,Z14)</f>
        <v/>
      </c>
      <c r="AB14" s="11">
        <f>COUNTIF(G14:Z14,"P")</f>
        <v/>
      </c>
      <c r="AC14" s="12">
        <f>COUNTIF(G14:Z14,"L")</f>
        <v/>
      </c>
      <c r="AD14" s="13">
        <f>COUNTIF(G14:Z14,"A")</f>
        <v/>
      </c>
      <c r="AE14" s="14">
        <f>AB14+AC14</f>
        <v/>
      </c>
      <c r="AF14" s="8">
        <f>AE14/16*10</f>
        <v/>
      </c>
      <c r="AG14" s="8">
        <f>AA14</f>
        <v/>
      </c>
      <c r="AH14" s="8" t="n">
        <v>19</v>
      </c>
      <c r="AI14" s="5" t="n"/>
    </row>
    <row r="15">
      <c r="A15" s="50" t="n"/>
      <c r="B15" s="4" t="n">
        <v>7</v>
      </c>
      <c r="C15" s="4" t="n">
        <v>7</v>
      </c>
      <c r="D15" s="7" t="inlineStr">
        <is>
          <t>خالد مسفر ناصر سعود المنصوري</t>
        </is>
      </c>
      <c r="E15" s="15" t="inlineStr">
        <is>
          <t>NA</t>
        </is>
      </c>
      <c r="F15" s="15" t="inlineStr">
        <is>
          <t>NA</t>
        </is>
      </c>
      <c r="G15" s="4" t="n"/>
      <c r="H15" s="4" t="n"/>
      <c r="I15" s="4" t="n"/>
      <c r="J15" s="4" t="n"/>
      <c r="K15" s="9" t="n">
        <v>0</v>
      </c>
      <c r="L15" s="4" t="n"/>
      <c r="M15" s="4" t="n"/>
      <c r="N15" s="4" t="n"/>
      <c r="O15" s="4" t="n"/>
      <c r="P15" s="9" t="n">
        <v>0</v>
      </c>
      <c r="Q15" s="4" t="n"/>
      <c r="R15" s="4" t="n"/>
      <c r="S15" s="4" t="n"/>
      <c r="T15" s="4" t="n"/>
      <c r="U15" s="9" t="n">
        <v>0</v>
      </c>
      <c r="V15" s="4" t="n"/>
      <c r="W15" s="4" t="n"/>
      <c r="X15" s="4" t="n"/>
      <c r="Y15" s="4" t="n"/>
      <c r="Z15" s="9" t="n">
        <v>0</v>
      </c>
      <c r="AA15" s="10">
        <f>AVERAGE(K15,P15,U15,Z15)</f>
        <v/>
      </c>
      <c r="AB15" s="11">
        <f>COUNTIF(G15:Z15,"P")</f>
        <v/>
      </c>
      <c r="AC15" s="12">
        <f>COUNTIF(G15:Z15,"L")</f>
        <v/>
      </c>
      <c r="AD15" s="13">
        <f>COUNTIF(G15:Z15,"A")</f>
        <v/>
      </c>
      <c r="AE15" s="14">
        <f>AB15+AC15</f>
        <v/>
      </c>
      <c r="AF15" s="8">
        <f>AE15/16*10</f>
        <v/>
      </c>
      <c r="AG15" s="8">
        <f>AA15</f>
        <v/>
      </c>
      <c r="AH15" s="8" t="n">
        <v>18</v>
      </c>
      <c r="AI15" s="5" t="n"/>
    </row>
    <row r="16">
      <c r="A16" s="50" t="n"/>
      <c r="B16" s="4" t="n">
        <v>8</v>
      </c>
      <c r="C16" s="4" t="n">
        <v>8</v>
      </c>
      <c r="D16" s="7" t="inlineStr">
        <is>
          <t>دلال عوض عايض معيض العتيبي</t>
        </is>
      </c>
      <c r="E16" s="15" t="inlineStr">
        <is>
          <t>NA</t>
        </is>
      </c>
      <c r="F16" s="15" t="inlineStr">
        <is>
          <t>NA</t>
        </is>
      </c>
      <c r="G16" s="4" t="n"/>
      <c r="H16" s="4" t="n"/>
      <c r="I16" s="4" t="n"/>
      <c r="J16" s="4" t="n"/>
      <c r="K16" s="9" t="n">
        <v>0</v>
      </c>
      <c r="L16" s="4" t="n"/>
      <c r="M16" s="4" t="n"/>
      <c r="N16" s="4" t="n"/>
      <c r="O16" s="4" t="n"/>
      <c r="P16" s="9" t="n">
        <v>0</v>
      </c>
      <c r="Q16" s="4" t="n"/>
      <c r="R16" s="4" t="n"/>
      <c r="S16" s="4" t="n"/>
      <c r="T16" s="4" t="n"/>
      <c r="U16" s="9" t="n">
        <v>0</v>
      </c>
      <c r="V16" s="4" t="n"/>
      <c r="W16" s="4" t="n"/>
      <c r="X16" s="4" t="n"/>
      <c r="Y16" s="4" t="n"/>
      <c r="Z16" s="9" t="n">
        <v>0</v>
      </c>
      <c r="AA16" s="10">
        <f>AVERAGE(K16,P16,U16,Z16)</f>
        <v/>
      </c>
      <c r="AB16" s="11">
        <f>COUNTIF(G16:Z16,"P")</f>
        <v/>
      </c>
      <c r="AC16" s="12">
        <f>COUNTIF(G16:Z16,"L")</f>
        <v/>
      </c>
      <c r="AD16" s="13">
        <f>COUNTIF(G16:Z16,"A")</f>
        <v/>
      </c>
      <c r="AE16" s="14">
        <f>AB16+AC16</f>
        <v/>
      </c>
      <c r="AF16" s="8">
        <f>AE16/16*10</f>
        <v/>
      </c>
      <c r="AG16" s="8">
        <f>AA16</f>
        <v/>
      </c>
      <c r="AH16" s="8" t="n">
        <v>18</v>
      </c>
      <c r="AI16" s="5" t="n"/>
    </row>
    <row r="17">
      <c r="A17" s="50" t="n"/>
      <c r="B17" s="4" t="n">
        <v>9</v>
      </c>
      <c r="C17" s="4" t="n">
        <v>9</v>
      </c>
      <c r="D17" s="7" t="inlineStr">
        <is>
          <t>راشد عوض ضاحى مبارك الحسانى</t>
        </is>
      </c>
      <c r="E17" s="15" t="inlineStr">
        <is>
          <t>NA</t>
        </is>
      </c>
      <c r="F17" s="15" t="inlineStr">
        <is>
          <t>NA</t>
        </is>
      </c>
      <c r="G17" s="4" t="n"/>
      <c r="H17" s="4" t="n"/>
      <c r="I17" s="4" t="n"/>
      <c r="J17" s="4" t="n"/>
      <c r="K17" s="9" t="n">
        <v>0</v>
      </c>
      <c r="L17" s="4" t="n"/>
      <c r="M17" s="4" t="n"/>
      <c r="N17" s="4" t="n"/>
      <c r="O17" s="4" t="n"/>
      <c r="P17" s="9" t="n">
        <v>0</v>
      </c>
      <c r="Q17" s="4" t="n"/>
      <c r="R17" s="4" t="n"/>
      <c r="S17" s="4" t="n"/>
      <c r="T17" s="4" t="n"/>
      <c r="U17" s="9" t="n">
        <v>0</v>
      </c>
      <c r="V17" s="4" t="n"/>
      <c r="W17" s="4" t="n"/>
      <c r="X17" s="4" t="n"/>
      <c r="Y17" s="4" t="n"/>
      <c r="Z17" s="9" t="n">
        <v>0</v>
      </c>
      <c r="AA17" s="10">
        <f>AVERAGE(K17,P17,U17,Z17)</f>
        <v/>
      </c>
      <c r="AB17" s="11">
        <f>COUNTIF(G17:Z17,"P")</f>
        <v/>
      </c>
      <c r="AC17" s="12">
        <f>COUNTIF(G17:Z17,"L")</f>
        <v/>
      </c>
      <c r="AD17" s="13">
        <f>COUNTIF(G17:Z17,"A")</f>
        <v/>
      </c>
      <c r="AE17" s="14">
        <f>AB17+AC17</f>
        <v/>
      </c>
      <c r="AF17" s="8">
        <f>AE17/16*10</f>
        <v/>
      </c>
      <c r="AG17" s="8">
        <f>AA17</f>
        <v/>
      </c>
      <c r="AH17" s="8" t="n">
        <v>20</v>
      </c>
      <c r="AI17" s="5" t="n"/>
    </row>
    <row r="18">
      <c r="A18" s="50" t="n"/>
      <c r="B18" s="4" t="n">
        <v>10</v>
      </c>
      <c r="C18" s="4" t="n">
        <v>10</v>
      </c>
      <c r="D18" s="7" t="inlineStr">
        <is>
          <t>روضة خميس عبدالله سالم الشامسي</t>
        </is>
      </c>
      <c r="E18" s="15" t="inlineStr">
        <is>
          <t>NA</t>
        </is>
      </c>
      <c r="F18" s="15" t="inlineStr">
        <is>
          <t>NA</t>
        </is>
      </c>
      <c r="G18" s="4" t="n"/>
      <c r="H18" s="4" t="n"/>
      <c r="I18" s="4" t="n"/>
      <c r="J18" s="4" t="n"/>
      <c r="K18" s="9" t="n">
        <v>0</v>
      </c>
      <c r="L18" s="4" t="n"/>
      <c r="M18" s="4" t="n"/>
      <c r="N18" s="4" t="n"/>
      <c r="O18" s="4" t="n"/>
      <c r="P18" s="9" t="n">
        <v>0</v>
      </c>
      <c r="Q18" s="4" t="n"/>
      <c r="R18" s="4" t="n"/>
      <c r="S18" s="4" t="n"/>
      <c r="T18" s="4" t="n"/>
      <c r="U18" s="9" t="n">
        <v>0</v>
      </c>
      <c r="V18" s="4" t="n"/>
      <c r="W18" s="4" t="n"/>
      <c r="X18" s="4" t="n"/>
      <c r="Y18" s="4" t="n"/>
      <c r="Z18" s="9" t="n">
        <v>0</v>
      </c>
      <c r="AA18" s="10">
        <f>AVERAGE(K18,P18,U18,Z18)</f>
        <v/>
      </c>
      <c r="AB18" s="11">
        <f>COUNTIF(G18:Z18,"P")</f>
        <v/>
      </c>
      <c r="AC18" s="12">
        <f>COUNTIF(G18:Z18,"L")</f>
        <v/>
      </c>
      <c r="AD18" s="13">
        <f>COUNTIF(G18:Z18,"A")</f>
        <v/>
      </c>
      <c r="AE18" s="14">
        <f>AB18+AC18</f>
        <v/>
      </c>
      <c r="AF18" s="8">
        <f>AE18/16*10</f>
        <v/>
      </c>
      <c r="AG18" s="8">
        <f>AA18</f>
        <v/>
      </c>
      <c r="AH18" s="8" t="n">
        <v>18</v>
      </c>
      <c r="AI18" s="5" t="n"/>
    </row>
    <row r="19">
      <c r="A19" s="50" t="n"/>
      <c r="B19" s="4" t="n">
        <v>11</v>
      </c>
      <c r="C19" s="4" t="n">
        <v>11</v>
      </c>
      <c r="D19" s="7" t="inlineStr">
        <is>
          <t>شما عيظة مبارك عيظة العامري</t>
        </is>
      </c>
      <c r="E19" s="15" t="inlineStr">
        <is>
          <t>NA</t>
        </is>
      </c>
      <c r="F19" s="15" t="inlineStr">
        <is>
          <t>NA</t>
        </is>
      </c>
      <c r="G19" s="4" t="n"/>
      <c r="H19" s="4" t="n"/>
      <c r="I19" s="4" t="n"/>
      <c r="J19" s="4" t="n"/>
      <c r="K19" s="9" t="n">
        <v>0</v>
      </c>
      <c r="L19" s="4" t="n"/>
      <c r="M19" s="4" t="n"/>
      <c r="N19" s="4" t="n"/>
      <c r="O19" s="4" t="n"/>
      <c r="P19" s="9" t="n">
        <v>0</v>
      </c>
      <c r="Q19" s="4" t="n"/>
      <c r="R19" s="4" t="n"/>
      <c r="S19" s="4" t="n"/>
      <c r="T19" s="4" t="n"/>
      <c r="U19" s="9" t="n">
        <v>0</v>
      </c>
      <c r="V19" s="4" t="n"/>
      <c r="W19" s="4" t="n"/>
      <c r="X19" s="4" t="n"/>
      <c r="Y19" s="4" t="n"/>
      <c r="Z19" s="9" t="n">
        <v>0</v>
      </c>
      <c r="AA19" s="10">
        <f>AVERAGE(K19,P19,U19,Z19)</f>
        <v/>
      </c>
      <c r="AB19" s="11">
        <f>COUNTIF(G19:Z19,"P")</f>
        <v/>
      </c>
      <c r="AC19" s="12">
        <f>COUNTIF(G19:Z19,"L")</f>
        <v/>
      </c>
      <c r="AD19" s="13">
        <f>COUNTIF(G19:Z19,"A")</f>
        <v/>
      </c>
      <c r="AE19" s="14">
        <f>AB19+AC19</f>
        <v/>
      </c>
      <c r="AF19" s="8">
        <f>AE19/16*10</f>
        <v/>
      </c>
      <c r="AG19" s="8">
        <f>AA19</f>
        <v/>
      </c>
      <c r="AH19" s="8" t="n">
        <v>18</v>
      </c>
      <c r="AI19" s="5" t="n"/>
    </row>
    <row r="20">
      <c r="A20" s="50" t="n"/>
      <c r="B20" s="4" t="n">
        <v>12</v>
      </c>
      <c r="C20" s="4" t="n">
        <v>12</v>
      </c>
      <c r="D20" s="7" t="inlineStr">
        <is>
          <t>شماء جابر على محمد</t>
        </is>
      </c>
      <c r="E20" s="15" t="inlineStr">
        <is>
          <t>NA</t>
        </is>
      </c>
      <c r="F20" s="15" t="inlineStr">
        <is>
          <t>NA</t>
        </is>
      </c>
      <c r="G20" s="4" t="n"/>
      <c r="H20" s="4" t="n"/>
      <c r="I20" s="4" t="n"/>
      <c r="J20" s="4" t="n"/>
      <c r="K20" s="9" t="n">
        <v>0</v>
      </c>
      <c r="L20" s="4" t="n"/>
      <c r="M20" s="4" t="n"/>
      <c r="N20" s="4" t="n"/>
      <c r="O20" s="4" t="n"/>
      <c r="P20" s="9" t="n">
        <v>0</v>
      </c>
      <c r="Q20" s="4" t="n"/>
      <c r="R20" s="4" t="n"/>
      <c r="S20" s="4" t="n"/>
      <c r="T20" s="4" t="n"/>
      <c r="U20" s="9" t="n">
        <v>0</v>
      </c>
      <c r="V20" s="4" t="n"/>
      <c r="W20" s="4" t="n"/>
      <c r="X20" s="4" t="n"/>
      <c r="Y20" s="4" t="n"/>
      <c r="Z20" s="9" t="n">
        <v>0</v>
      </c>
      <c r="AA20" s="10">
        <f>AVERAGE(K20,P20,U20,Z20)</f>
        <v/>
      </c>
      <c r="AB20" s="11">
        <f>COUNTIF(G20:Z20,"P")</f>
        <v/>
      </c>
      <c r="AC20" s="12">
        <f>COUNTIF(G20:Z20,"L")</f>
        <v/>
      </c>
      <c r="AD20" s="13">
        <f>COUNTIF(G20:Z20,"A")</f>
        <v/>
      </c>
      <c r="AE20" s="14">
        <f>AB20+AC20</f>
        <v/>
      </c>
      <c r="AF20" s="8">
        <f>AE20/16*10</f>
        <v/>
      </c>
      <c r="AG20" s="8">
        <f>AA20</f>
        <v/>
      </c>
      <c r="AH20" s="8" t="n">
        <v>19</v>
      </c>
      <c r="AI20" s="5" t="n"/>
    </row>
    <row r="21">
      <c r="A21" s="50" t="n"/>
      <c r="B21" s="4" t="n">
        <v>13</v>
      </c>
      <c r="C21" s="4" t="n">
        <v>13</v>
      </c>
      <c r="D21" s="7" t="inlineStr">
        <is>
          <t>شيخه بنت سالم بن محمد بن على المقباليه</t>
        </is>
      </c>
      <c r="E21" s="15" t="inlineStr">
        <is>
          <t>NA</t>
        </is>
      </c>
      <c r="F21" s="15" t="inlineStr">
        <is>
          <t>NA</t>
        </is>
      </c>
      <c r="G21" s="4" t="n"/>
      <c r="H21" s="4" t="n"/>
      <c r="I21" s="4" t="n"/>
      <c r="J21" s="4" t="n"/>
      <c r="K21" s="9" t="n">
        <v>0</v>
      </c>
      <c r="L21" s="4" t="n"/>
      <c r="M21" s="4" t="n"/>
      <c r="N21" s="4" t="n"/>
      <c r="O21" s="4" t="n"/>
      <c r="P21" s="9" t="n">
        <v>0</v>
      </c>
      <c r="Q21" s="4" t="n"/>
      <c r="R21" s="4" t="n"/>
      <c r="S21" s="4" t="n"/>
      <c r="T21" s="4" t="n"/>
      <c r="U21" s="9" t="n">
        <v>0</v>
      </c>
      <c r="V21" s="4" t="n"/>
      <c r="W21" s="4" t="n"/>
      <c r="X21" s="4" t="n"/>
      <c r="Y21" s="4" t="n"/>
      <c r="Z21" s="9" t="n">
        <v>0</v>
      </c>
      <c r="AA21" s="10">
        <f>AVERAGE(K21,P21,U21,Z21)</f>
        <v/>
      </c>
      <c r="AB21" s="11">
        <f>COUNTIF(G21:Z21,"P")</f>
        <v/>
      </c>
      <c r="AC21" s="12">
        <f>COUNTIF(G21:Z21,"L")</f>
        <v/>
      </c>
      <c r="AD21" s="13">
        <f>COUNTIF(G21:Z21,"A")</f>
        <v/>
      </c>
      <c r="AE21" s="14">
        <f>AB21+AC21</f>
        <v/>
      </c>
      <c r="AF21" s="8">
        <f>AE21/16*10</f>
        <v/>
      </c>
      <c r="AG21" s="8">
        <f>AA21</f>
        <v/>
      </c>
      <c r="AH21" s="8" t="n">
        <v>18</v>
      </c>
      <c r="AI21" s="5" t="n"/>
    </row>
    <row r="22">
      <c r="A22" s="50" t="n"/>
      <c r="B22" s="4" t="n">
        <v>14</v>
      </c>
      <c r="C22" s="4" t="n">
        <v>14</v>
      </c>
      <c r="D22" s="7" t="inlineStr">
        <is>
          <t>ظبيه سعيد خليفه محمد الرواحيه</t>
        </is>
      </c>
      <c r="E22" s="15" t="inlineStr">
        <is>
          <t>NA</t>
        </is>
      </c>
      <c r="F22" s="15" t="inlineStr">
        <is>
          <t>NA</t>
        </is>
      </c>
      <c r="G22" s="4" t="n"/>
      <c r="H22" s="4" t="n"/>
      <c r="I22" s="4" t="n"/>
      <c r="J22" s="4" t="n"/>
      <c r="K22" s="9" t="n">
        <v>0</v>
      </c>
      <c r="L22" s="4" t="n"/>
      <c r="M22" s="4" t="n"/>
      <c r="N22" s="4" t="n"/>
      <c r="O22" s="4" t="n"/>
      <c r="P22" s="9" t="n">
        <v>0</v>
      </c>
      <c r="Q22" s="4" t="n"/>
      <c r="R22" s="4" t="n"/>
      <c r="S22" s="4" t="n"/>
      <c r="T22" s="4" t="n"/>
      <c r="U22" s="9" t="n">
        <v>0</v>
      </c>
      <c r="V22" s="4" t="n"/>
      <c r="W22" s="4" t="n"/>
      <c r="X22" s="4" t="n"/>
      <c r="Y22" s="4" t="n"/>
      <c r="Z22" s="9" t="n">
        <v>0</v>
      </c>
      <c r="AA22" s="10">
        <f>AVERAGE(K22,P22,U22,Z22)</f>
        <v/>
      </c>
      <c r="AB22" s="11">
        <f>COUNTIF(G22:Z22,"P")</f>
        <v/>
      </c>
      <c r="AC22" s="12">
        <f>COUNTIF(G22:Z22,"L")</f>
        <v/>
      </c>
      <c r="AD22" s="13">
        <f>COUNTIF(G22:Z22,"A")</f>
        <v/>
      </c>
      <c r="AE22" s="14">
        <f>AB22+AC22</f>
        <v/>
      </c>
      <c r="AF22" s="8">
        <f>AE22/16*10</f>
        <v/>
      </c>
      <c r="AG22" s="8">
        <f>AA22</f>
        <v/>
      </c>
      <c r="AH22" s="8" t="n">
        <v>19</v>
      </c>
      <c r="AI22" s="5" t="n"/>
    </row>
    <row r="23">
      <c r="A23" s="50" t="n"/>
      <c r="B23" s="4" t="n">
        <v>15</v>
      </c>
      <c r="C23" s="4" t="n">
        <v>15</v>
      </c>
      <c r="D23" s="7" t="inlineStr">
        <is>
          <t>عبدالله سالم عبدالله سويدان المقبالى</t>
        </is>
      </c>
      <c r="E23" s="15" t="inlineStr">
        <is>
          <t>NA</t>
        </is>
      </c>
      <c r="F23" s="15" t="inlineStr">
        <is>
          <t>NA</t>
        </is>
      </c>
      <c r="G23" s="4" t="n"/>
      <c r="H23" s="4" t="n"/>
      <c r="I23" s="4" t="n"/>
      <c r="J23" s="4" t="n"/>
      <c r="K23" s="9" t="n">
        <v>0</v>
      </c>
      <c r="L23" s="4" t="n"/>
      <c r="M23" s="4" t="n"/>
      <c r="N23" s="4" t="n"/>
      <c r="O23" s="4" t="n"/>
      <c r="P23" s="9" t="n">
        <v>0</v>
      </c>
      <c r="Q23" s="4" t="n"/>
      <c r="R23" s="4" t="n"/>
      <c r="S23" s="4" t="n"/>
      <c r="T23" s="4" t="n"/>
      <c r="U23" s="9" t="n">
        <v>0</v>
      </c>
      <c r="V23" s="4" t="n"/>
      <c r="W23" s="4" t="n"/>
      <c r="X23" s="4" t="n"/>
      <c r="Y23" s="4" t="n"/>
      <c r="Z23" s="9" t="n">
        <v>0</v>
      </c>
      <c r="AA23" s="10">
        <f>AVERAGE(K23,P23,U23,Z23)</f>
        <v/>
      </c>
      <c r="AB23" s="11">
        <f>COUNTIF(G23:Z23,"P")</f>
        <v/>
      </c>
      <c r="AC23" s="12">
        <f>COUNTIF(G23:Z23,"L")</f>
        <v/>
      </c>
      <c r="AD23" s="13">
        <f>COUNTIF(G23:Z23,"A")</f>
        <v/>
      </c>
      <c r="AE23" s="14">
        <f>AB23+AC23</f>
        <v/>
      </c>
      <c r="AF23" s="8">
        <f>AE23/16*10</f>
        <v/>
      </c>
      <c r="AG23" s="8">
        <f>AA23</f>
        <v/>
      </c>
      <c r="AH23" s="8" t="n">
        <v>19</v>
      </c>
      <c r="AI23" s="5" t="n"/>
    </row>
    <row r="24">
      <c r="A24" s="50" t="n"/>
      <c r="B24" s="4" t="n">
        <v>16</v>
      </c>
      <c r="C24" s="4" t="n">
        <v>16</v>
      </c>
      <c r="D24" s="7" t="inlineStr">
        <is>
          <t>عبيد علي سعيد سالم الشامسي</t>
        </is>
      </c>
      <c r="E24" s="15" t="inlineStr">
        <is>
          <t>NA</t>
        </is>
      </c>
      <c r="F24" s="15" t="inlineStr">
        <is>
          <t>NA</t>
        </is>
      </c>
      <c r="G24" s="4" t="n"/>
      <c r="H24" s="4" t="n"/>
      <c r="I24" s="4" t="n"/>
      <c r="J24" s="4" t="n"/>
      <c r="K24" s="9" t="n">
        <v>0</v>
      </c>
      <c r="L24" s="4" t="n"/>
      <c r="M24" s="4" t="n"/>
      <c r="N24" s="4" t="n"/>
      <c r="O24" s="4" t="n"/>
      <c r="P24" s="9" t="n">
        <v>0</v>
      </c>
      <c r="Q24" s="4" t="n"/>
      <c r="R24" s="4" t="n"/>
      <c r="S24" s="4" t="n"/>
      <c r="T24" s="4" t="n"/>
      <c r="U24" s="9" t="n">
        <v>0</v>
      </c>
      <c r="V24" s="4" t="n"/>
      <c r="W24" s="4" t="n"/>
      <c r="X24" s="4" t="n"/>
      <c r="Y24" s="4" t="n"/>
      <c r="Z24" s="9" t="n">
        <v>0</v>
      </c>
      <c r="AA24" s="10">
        <f>AVERAGE(K24,P24,U24,Z24)</f>
        <v/>
      </c>
      <c r="AB24" s="11">
        <f>COUNTIF(G24:Z24,"P")</f>
        <v/>
      </c>
      <c r="AC24" s="12">
        <f>COUNTIF(G24:Z24,"L")</f>
        <v/>
      </c>
      <c r="AD24" s="13">
        <f>COUNTIF(G24:Z24,"A")</f>
        <v/>
      </c>
      <c r="AE24" s="14">
        <f>AB24+AC24</f>
        <v/>
      </c>
      <c r="AF24" s="8">
        <f>AE24/16*10</f>
        <v/>
      </c>
      <c r="AG24" s="8">
        <f>AA24</f>
        <v/>
      </c>
      <c r="AH24" s="8" t="n">
        <v>18</v>
      </c>
      <c r="AI24" s="5" t="n"/>
    </row>
    <row r="25">
      <c r="A25" s="50" t="n"/>
      <c r="B25" s="4" t="n">
        <v>17</v>
      </c>
      <c r="C25" s="4" t="n">
        <v>17</v>
      </c>
      <c r="D25" s="7" t="inlineStr">
        <is>
          <t>عمر يس سليم محمد البلوشي</t>
        </is>
      </c>
      <c r="E25" s="15" t="inlineStr">
        <is>
          <t>NA</t>
        </is>
      </c>
      <c r="F25" s="15" t="inlineStr">
        <is>
          <t>NA</t>
        </is>
      </c>
      <c r="G25" s="4" t="n"/>
      <c r="H25" s="4" t="n"/>
      <c r="I25" s="4" t="n"/>
      <c r="J25" s="4" t="n"/>
      <c r="K25" s="9" t="n">
        <v>0</v>
      </c>
      <c r="L25" s="4" t="n"/>
      <c r="M25" s="4" t="n"/>
      <c r="N25" s="4" t="n"/>
      <c r="O25" s="4" t="n"/>
      <c r="P25" s="9" t="n">
        <v>0</v>
      </c>
      <c r="Q25" s="4" t="n"/>
      <c r="R25" s="4" t="n"/>
      <c r="S25" s="4" t="n"/>
      <c r="T25" s="4" t="n"/>
      <c r="U25" s="9" t="n">
        <v>0</v>
      </c>
      <c r="V25" s="4" t="n"/>
      <c r="W25" s="4" t="n"/>
      <c r="X25" s="4" t="n"/>
      <c r="Y25" s="4" t="n"/>
      <c r="Z25" s="9" t="n">
        <v>0</v>
      </c>
      <c r="AA25" s="10">
        <f>AVERAGE(K25,P25,U25,Z25)</f>
        <v/>
      </c>
      <c r="AB25" s="11">
        <f>COUNTIF(G25:Z25,"P")</f>
        <v/>
      </c>
      <c r="AC25" s="12">
        <f>COUNTIF(G25:Z25,"L")</f>
        <v/>
      </c>
      <c r="AD25" s="13">
        <f>COUNTIF(G25:Z25,"A")</f>
        <v/>
      </c>
      <c r="AE25" s="14">
        <f>AB25+AC25</f>
        <v/>
      </c>
      <c r="AF25" s="8">
        <f>AE25/16*10</f>
        <v/>
      </c>
      <c r="AG25" s="8">
        <f>AA25</f>
        <v/>
      </c>
      <c r="AH25" s="8" t="n">
        <v>20</v>
      </c>
      <c r="AI25" s="5" t="n"/>
    </row>
    <row r="26">
      <c r="A26" s="50" t="n"/>
      <c r="B26" s="4" t="n">
        <v>18</v>
      </c>
      <c r="C26" s="4" t="n">
        <v>18</v>
      </c>
      <c r="D26" s="7" t="inlineStr">
        <is>
          <t>لطيفه مبارك عتيق مبارك البريكي</t>
        </is>
      </c>
      <c r="E26" s="15" t="inlineStr">
        <is>
          <t>NA</t>
        </is>
      </c>
      <c r="F26" s="15" t="inlineStr">
        <is>
          <t>NA</t>
        </is>
      </c>
      <c r="G26" s="4" t="n"/>
      <c r="H26" s="4" t="n"/>
      <c r="I26" s="4" t="n"/>
      <c r="J26" s="4" t="n"/>
      <c r="K26" s="9" t="n">
        <v>0</v>
      </c>
      <c r="L26" s="4" t="n"/>
      <c r="M26" s="4" t="n"/>
      <c r="N26" s="4" t="n"/>
      <c r="O26" s="4" t="n"/>
      <c r="P26" s="9" t="n">
        <v>0</v>
      </c>
      <c r="Q26" s="4" t="n"/>
      <c r="R26" s="4" t="n"/>
      <c r="S26" s="4" t="n"/>
      <c r="T26" s="4" t="n"/>
      <c r="U26" s="9" t="n">
        <v>0</v>
      </c>
      <c r="V26" s="4" t="n"/>
      <c r="W26" s="4" t="n"/>
      <c r="X26" s="4" t="n"/>
      <c r="Y26" s="4" t="n"/>
      <c r="Z26" s="9" t="n">
        <v>0</v>
      </c>
      <c r="AA26" s="10">
        <f>AVERAGE(K26,P26,U26,Z26)</f>
        <v/>
      </c>
      <c r="AB26" s="11">
        <f>COUNTIF(G26:Z26,"P")</f>
        <v/>
      </c>
      <c r="AC26" s="12">
        <f>COUNTIF(G26:Z26,"L")</f>
        <v/>
      </c>
      <c r="AD26" s="13">
        <f>COUNTIF(G26:Z26,"A")</f>
        <v/>
      </c>
      <c r="AE26" s="14">
        <f>AB26+AC26</f>
        <v/>
      </c>
      <c r="AF26" s="8">
        <f>AE26/16*10</f>
        <v/>
      </c>
      <c r="AG26" s="8">
        <f>AA26</f>
        <v/>
      </c>
      <c r="AH26" s="8" t="n">
        <v>19</v>
      </c>
      <c r="AI26" s="5" t="n"/>
    </row>
    <row r="27">
      <c r="A27" s="50" t="n"/>
      <c r="B27" s="4" t="n">
        <v>19</v>
      </c>
      <c r="C27" s="4" t="n">
        <v>19</v>
      </c>
      <c r="D27" s="7" t="inlineStr">
        <is>
          <t>مبارك بن محمد بن جمعه بن مبارك الشرجى</t>
        </is>
      </c>
      <c r="E27" s="15" t="inlineStr">
        <is>
          <t>NA</t>
        </is>
      </c>
      <c r="F27" s="15" t="inlineStr">
        <is>
          <t>NA</t>
        </is>
      </c>
      <c r="G27" s="4" t="n"/>
      <c r="H27" s="4" t="n"/>
      <c r="I27" s="4" t="n"/>
      <c r="J27" s="4" t="n"/>
      <c r="K27" s="9" t="n">
        <v>0</v>
      </c>
      <c r="L27" s="4" t="n"/>
      <c r="M27" s="4" t="n"/>
      <c r="N27" s="4" t="n"/>
      <c r="O27" s="4" t="n"/>
      <c r="P27" s="9" t="n">
        <v>0</v>
      </c>
      <c r="Q27" s="4" t="n"/>
      <c r="R27" s="4" t="n"/>
      <c r="S27" s="4" t="n"/>
      <c r="T27" s="4" t="n"/>
      <c r="U27" s="9" t="n">
        <v>0</v>
      </c>
      <c r="V27" s="4" t="n"/>
      <c r="W27" s="4" t="n"/>
      <c r="X27" s="4" t="n"/>
      <c r="Y27" s="4" t="n"/>
      <c r="Z27" s="9" t="n">
        <v>0</v>
      </c>
      <c r="AA27" s="10">
        <f>AVERAGE(K27,P27,U27,Z27)</f>
        <v/>
      </c>
      <c r="AB27" s="11">
        <f>COUNTIF(G27:Z27,"P")</f>
        <v/>
      </c>
      <c r="AC27" s="12">
        <f>COUNTIF(G27:Z27,"L")</f>
        <v/>
      </c>
      <c r="AD27" s="13">
        <f>COUNTIF(G27:Z27,"A")</f>
        <v/>
      </c>
      <c r="AE27" s="14">
        <f>AB27+AC27</f>
        <v/>
      </c>
      <c r="AF27" s="8">
        <f>AE27/16*10</f>
        <v/>
      </c>
      <c r="AG27" s="8">
        <f>AA27</f>
        <v/>
      </c>
      <c r="AH27" s="8" t="n">
        <v>19</v>
      </c>
      <c r="AI27" s="5" t="n"/>
    </row>
    <row r="28">
      <c r="A28" s="50" t="n"/>
      <c r="B28" s="4" t="n">
        <v>20</v>
      </c>
      <c r="C28" s="4" t="n">
        <v>20</v>
      </c>
      <c r="D28" s="7" t="inlineStr">
        <is>
          <t>محمد خالد سعيد محمد المهرى</t>
        </is>
      </c>
      <c r="E28" s="15" t="inlineStr">
        <is>
          <t>NA</t>
        </is>
      </c>
      <c r="F28" s="15" t="inlineStr">
        <is>
          <t>NA</t>
        </is>
      </c>
      <c r="G28" s="4" t="n"/>
      <c r="H28" s="4" t="n"/>
      <c r="I28" s="4" t="n"/>
      <c r="J28" s="4" t="n"/>
      <c r="K28" s="9" t="n">
        <v>0</v>
      </c>
      <c r="L28" s="4" t="n"/>
      <c r="M28" s="4" t="n"/>
      <c r="N28" s="4" t="n"/>
      <c r="O28" s="4" t="n"/>
      <c r="P28" s="9" t="n">
        <v>0</v>
      </c>
      <c r="Q28" s="4" t="n"/>
      <c r="R28" s="4" t="n"/>
      <c r="S28" s="4" t="n"/>
      <c r="T28" s="4" t="n"/>
      <c r="U28" s="9" t="n">
        <v>0</v>
      </c>
      <c r="V28" s="4" t="n"/>
      <c r="W28" s="4" t="n"/>
      <c r="X28" s="4" t="n"/>
      <c r="Y28" s="4" t="n"/>
      <c r="Z28" s="9" t="n">
        <v>0</v>
      </c>
      <c r="AA28" s="10">
        <f>AVERAGE(K28,P28,U28,Z28)</f>
        <v/>
      </c>
      <c r="AB28" s="11">
        <f>COUNTIF(G28:Z28,"P")</f>
        <v/>
      </c>
      <c r="AC28" s="12">
        <f>COUNTIF(G28:Z28,"L")</f>
        <v/>
      </c>
      <c r="AD28" s="13">
        <f>COUNTIF(G28:Z28,"A")</f>
        <v/>
      </c>
      <c r="AE28" s="14">
        <f>AB28+AC28</f>
        <v/>
      </c>
      <c r="AF28" s="8">
        <f>AE28/16*10</f>
        <v/>
      </c>
      <c r="AG28" s="8">
        <f>AA28</f>
        <v/>
      </c>
      <c r="AH28" s="8" t="n">
        <v>19</v>
      </c>
      <c r="AI28" s="5" t="n"/>
    </row>
    <row r="29">
      <c r="A29" s="50" t="n"/>
      <c r="B29" s="4" t="n">
        <v>21</v>
      </c>
      <c r="C29" s="4" t="n">
        <v>21</v>
      </c>
      <c r="D29" s="7" t="inlineStr">
        <is>
          <t>محمد عبدالله محمد سيف الكعبي</t>
        </is>
      </c>
      <c r="E29" s="15" t="inlineStr">
        <is>
          <t>NA</t>
        </is>
      </c>
      <c r="F29" s="15" t="inlineStr">
        <is>
          <t>NA</t>
        </is>
      </c>
      <c r="G29" s="4" t="n"/>
      <c r="H29" s="4" t="n"/>
      <c r="I29" s="4" t="n"/>
      <c r="J29" s="4" t="n"/>
      <c r="K29" s="9" t="n">
        <v>0</v>
      </c>
      <c r="L29" s="4" t="n"/>
      <c r="M29" s="4" t="n"/>
      <c r="N29" s="4" t="n"/>
      <c r="O29" s="4" t="n"/>
      <c r="P29" s="9" t="n">
        <v>0</v>
      </c>
      <c r="Q29" s="4" t="n"/>
      <c r="R29" s="4" t="n"/>
      <c r="S29" s="4" t="n"/>
      <c r="T29" s="4" t="n"/>
      <c r="U29" s="9" t="n">
        <v>0</v>
      </c>
      <c r="V29" s="4" t="n"/>
      <c r="W29" s="4" t="n"/>
      <c r="X29" s="4" t="n"/>
      <c r="Y29" s="4" t="n"/>
      <c r="Z29" s="9" t="n">
        <v>0</v>
      </c>
      <c r="AA29" s="10">
        <f>AVERAGE(K29,P29,U29,Z29)</f>
        <v/>
      </c>
      <c r="AB29" s="11">
        <f>COUNTIF(G29:Z29,"P")</f>
        <v/>
      </c>
      <c r="AC29" s="12">
        <f>COUNTIF(G29:Z29,"L")</f>
        <v/>
      </c>
      <c r="AD29" s="13">
        <f>COUNTIF(G29:Z29,"A")</f>
        <v/>
      </c>
      <c r="AE29" s="14">
        <f>AB29+AC29</f>
        <v/>
      </c>
      <c r="AF29" s="8">
        <f>AE29/16*10</f>
        <v/>
      </c>
      <c r="AG29" s="8">
        <f>AA29</f>
        <v/>
      </c>
      <c r="AH29" s="8" t="n">
        <v>20</v>
      </c>
      <c r="AI29" s="5" t="n"/>
    </row>
    <row r="30">
      <c r="A30" s="50" t="n"/>
      <c r="B30" s="4" t="n">
        <v>22</v>
      </c>
      <c r="C30" s="4" t="n">
        <v>22</v>
      </c>
      <c r="D30" s="7" t="inlineStr">
        <is>
          <t>مريم حمدان محمد صالح الكربي</t>
        </is>
      </c>
      <c r="E30" s="15" t="inlineStr">
        <is>
          <t>NA</t>
        </is>
      </c>
      <c r="F30" s="15" t="inlineStr">
        <is>
          <t>NA</t>
        </is>
      </c>
      <c r="G30" s="4" t="n"/>
      <c r="H30" s="4" t="n"/>
      <c r="I30" s="4" t="n"/>
      <c r="J30" s="4" t="n"/>
      <c r="K30" s="9" t="n">
        <v>0</v>
      </c>
      <c r="L30" s="4" t="n"/>
      <c r="M30" s="4" t="n"/>
      <c r="N30" s="4" t="n"/>
      <c r="O30" s="4" t="n"/>
      <c r="P30" s="9" t="n">
        <v>0</v>
      </c>
      <c r="Q30" s="4" t="n"/>
      <c r="R30" s="4" t="n"/>
      <c r="S30" s="4" t="n"/>
      <c r="T30" s="4" t="n"/>
      <c r="U30" s="9" t="n">
        <v>0</v>
      </c>
      <c r="V30" s="4" t="n"/>
      <c r="W30" s="4" t="n"/>
      <c r="X30" s="4" t="n"/>
      <c r="Y30" s="4" t="n"/>
      <c r="Z30" s="9" t="n">
        <v>0</v>
      </c>
      <c r="AA30" s="10">
        <f>AVERAGE(K30,P30,U30,Z30)</f>
        <v/>
      </c>
      <c r="AB30" s="11">
        <f>COUNTIF(G30:Z30,"P")</f>
        <v/>
      </c>
      <c r="AC30" s="12">
        <f>COUNTIF(G30:Z30,"L")</f>
        <v/>
      </c>
      <c r="AD30" s="13">
        <f>COUNTIF(G30:Z30,"A")</f>
        <v/>
      </c>
      <c r="AE30" s="14">
        <f>AB30+AC30</f>
        <v/>
      </c>
      <c r="AF30" s="8">
        <f>AE30/16*10</f>
        <v/>
      </c>
      <c r="AG30" s="8">
        <f>AA30</f>
        <v/>
      </c>
      <c r="AH30" s="8" t="n">
        <v>18</v>
      </c>
      <c r="AI30" s="5" t="n"/>
    </row>
    <row r="31">
      <c r="A31" s="50" t="n"/>
      <c r="B31" s="4" t="n">
        <v>23</v>
      </c>
      <c r="C31" s="4" t="n">
        <v>23</v>
      </c>
      <c r="D31" s="7" t="inlineStr">
        <is>
          <t>مريم عقيل عمر سعيد البريكي</t>
        </is>
      </c>
      <c r="E31" s="15" t="inlineStr">
        <is>
          <t>NA</t>
        </is>
      </c>
      <c r="F31" s="15" t="inlineStr">
        <is>
          <t>NA</t>
        </is>
      </c>
      <c r="G31" s="4" t="n"/>
      <c r="H31" s="4" t="n"/>
      <c r="I31" s="4" t="n"/>
      <c r="J31" s="4" t="n"/>
      <c r="K31" s="9" t="n">
        <v>0</v>
      </c>
      <c r="L31" s="4" t="n"/>
      <c r="M31" s="4" t="n"/>
      <c r="N31" s="4" t="n"/>
      <c r="O31" s="4" t="n"/>
      <c r="P31" s="9" t="n">
        <v>0</v>
      </c>
      <c r="Q31" s="4" t="n"/>
      <c r="R31" s="4" t="n"/>
      <c r="S31" s="4" t="n"/>
      <c r="T31" s="4" t="n"/>
      <c r="U31" s="9" t="n">
        <v>0</v>
      </c>
      <c r="V31" s="4" t="n"/>
      <c r="W31" s="4" t="n"/>
      <c r="X31" s="4" t="n"/>
      <c r="Y31" s="4" t="n"/>
      <c r="Z31" s="9" t="n">
        <v>0</v>
      </c>
      <c r="AA31" s="10">
        <f>AVERAGE(K31,P31,U31,Z31)</f>
        <v/>
      </c>
      <c r="AB31" s="11">
        <f>COUNTIF(G31:Z31,"P")</f>
        <v/>
      </c>
      <c r="AC31" s="12">
        <f>COUNTIF(G31:Z31,"L")</f>
        <v/>
      </c>
      <c r="AD31" s="13">
        <f>COUNTIF(G31:Z31,"A")</f>
        <v/>
      </c>
      <c r="AE31" s="14">
        <f>AB31+AC31</f>
        <v/>
      </c>
      <c r="AF31" s="8">
        <f>AE31/16*10</f>
        <v/>
      </c>
      <c r="AG31" s="8">
        <f>AA31</f>
        <v/>
      </c>
      <c r="AH31" s="8" t="n">
        <v>20</v>
      </c>
      <c r="AI31" s="5" t="n"/>
    </row>
    <row r="32">
      <c r="A32" s="50" t="n"/>
      <c r="B32" s="4" t="n">
        <v>24</v>
      </c>
      <c r="C32" s="4" t="n">
        <v>24</v>
      </c>
      <c r="D32" s="7" t="inlineStr">
        <is>
          <t>منصور سعيد خليفه حمدون الشامسي</t>
        </is>
      </c>
      <c r="E32" s="15" t="inlineStr">
        <is>
          <t>NA</t>
        </is>
      </c>
      <c r="F32" s="15" t="inlineStr">
        <is>
          <t>NA</t>
        </is>
      </c>
      <c r="G32" s="4" t="n"/>
      <c r="H32" s="4" t="n"/>
      <c r="I32" s="4" t="n"/>
      <c r="J32" s="4" t="n"/>
      <c r="K32" s="9" t="n">
        <v>0</v>
      </c>
      <c r="L32" s="4" t="n"/>
      <c r="M32" s="4" t="n"/>
      <c r="N32" s="4" t="n"/>
      <c r="O32" s="4" t="n"/>
      <c r="P32" s="9" t="n">
        <v>0</v>
      </c>
      <c r="Q32" s="4" t="n"/>
      <c r="R32" s="4" t="n"/>
      <c r="S32" s="4" t="n"/>
      <c r="T32" s="4" t="n"/>
      <c r="U32" s="9" t="n">
        <v>0</v>
      </c>
      <c r="V32" s="4" t="n"/>
      <c r="W32" s="4" t="n"/>
      <c r="X32" s="4" t="n"/>
      <c r="Y32" s="4" t="n"/>
      <c r="Z32" s="9" t="n">
        <v>0</v>
      </c>
      <c r="AA32" s="10">
        <f>AVERAGE(K32,P32,U32,Z32)</f>
        <v/>
      </c>
      <c r="AB32" s="11">
        <f>COUNTIF(G32:Z32,"P")</f>
        <v/>
      </c>
      <c r="AC32" s="12">
        <f>COUNTIF(G32:Z32,"L")</f>
        <v/>
      </c>
      <c r="AD32" s="13">
        <f>COUNTIF(G32:Z32,"A")</f>
        <v/>
      </c>
      <c r="AE32" s="14">
        <f>AB32+AC32</f>
        <v/>
      </c>
      <c r="AF32" s="8">
        <f>AE32/16*10</f>
        <v/>
      </c>
      <c r="AG32" s="8">
        <f>AA32</f>
        <v/>
      </c>
      <c r="AH32" s="8" t="n">
        <v>20</v>
      </c>
      <c r="AI32" s="5" t="n"/>
    </row>
    <row r="33">
      <c r="A33" s="50" t="n"/>
      <c r="B33" s="4" t="n">
        <v>25</v>
      </c>
      <c r="C33" s="4" t="n">
        <v>25</v>
      </c>
      <c r="D33" s="7" t="inlineStr">
        <is>
          <t>منصور غيث مطر خايف الظاهري</t>
        </is>
      </c>
      <c r="E33" s="15" t="inlineStr">
        <is>
          <t>NA</t>
        </is>
      </c>
      <c r="F33" s="15" t="inlineStr">
        <is>
          <t>NA</t>
        </is>
      </c>
      <c r="G33" s="4" t="n"/>
      <c r="H33" s="4" t="n"/>
      <c r="I33" s="4" t="n"/>
      <c r="J33" s="4" t="n"/>
      <c r="K33" s="9" t="n">
        <v>0</v>
      </c>
      <c r="L33" s="4" t="n"/>
      <c r="M33" s="4" t="n"/>
      <c r="N33" s="4" t="n"/>
      <c r="O33" s="4" t="n"/>
      <c r="P33" s="9" t="n">
        <v>0</v>
      </c>
      <c r="Q33" s="4" t="n"/>
      <c r="R33" s="4" t="n"/>
      <c r="S33" s="4" t="n"/>
      <c r="T33" s="4" t="n"/>
      <c r="U33" s="9" t="n">
        <v>0</v>
      </c>
      <c r="V33" s="4" t="n"/>
      <c r="W33" s="4" t="n"/>
      <c r="X33" s="4" t="n"/>
      <c r="Y33" s="4" t="n"/>
      <c r="Z33" s="9" t="n">
        <v>0</v>
      </c>
      <c r="AA33" s="10">
        <f>AVERAGE(K33,P33,U33,Z33)</f>
        <v/>
      </c>
      <c r="AB33" s="11">
        <f>COUNTIF(G33:Z33,"P")</f>
        <v/>
      </c>
      <c r="AC33" s="12">
        <f>COUNTIF(G33:Z33,"L")</f>
        <v/>
      </c>
      <c r="AD33" s="13">
        <f>COUNTIF(G33:Z33,"A")</f>
        <v/>
      </c>
      <c r="AE33" s="14">
        <f>AB33+AC33</f>
        <v/>
      </c>
      <c r="AF33" s="8">
        <f>AE33/16*10</f>
        <v/>
      </c>
      <c r="AG33" s="8">
        <f>AA33</f>
        <v/>
      </c>
      <c r="AH33" s="8" t="n">
        <v>20</v>
      </c>
      <c r="AI33" s="5" t="n"/>
    </row>
    <row r="34">
      <c r="A34" s="50" t="n"/>
      <c r="B34" s="4" t="n">
        <v>26</v>
      </c>
      <c r="C34" s="4" t="n">
        <v>26</v>
      </c>
      <c r="D34" s="7" t="inlineStr">
        <is>
          <t>مها اسحاق احمد عبدالله البلوشي</t>
        </is>
      </c>
      <c r="E34" s="15" t="inlineStr">
        <is>
          <t>NA</t>
        </is>
      </c>
      <c r="F34" s="15" t="inlineStr">
        <is>
          <t>NA</t>
        </is>
      </c>
      <c r="G34" s="4" t="n"/>
      <c r="H34" s="4" t="n"/>
      <c r="I34" s="4" t="n"/>
      <c r="J34" s="4" t="n"/>
      <c r="K34" s="9" t="n">
        <v>0</v>
      </c>
      <c r="L34" s="4" t="n"/>
      <c r="M34" s="4" t="n"/>
      <c r="N34" s="4" t="n"/>
      <c r="O34" s="4" t="n"/>
      <c r="P34" s="9" t="n">
        <v>0</v>
      </c>
      <c r="Q34" s="4" t="n"/>
      <c r="R34" s="4" t="n"/>
      <c r="S34" s="4" t="n"/>
      <c r="T34" s="4" t="n"/>
      <c r="U34" s="9" t="n">
        <v>0</v>
      </c>
      <c r="V34" s="4" t="n"/>
      <c r="W34" s="4" t="n"/>
      <c r="X34" s="4" t="n"/>
      <c r="Y34" s="4" t="n"/>
      <c r="Z34" s="9" t="n">
        <v>0</v>
      </c>
      <c r="AA34" s="10">
        <f>AVERAGE(K34,P34,U34,Z34)</f>
        <v/>
      </c>
      <c r="AB34" s="11">
        <f>COUNTIF(G34:Z34,"P")</f>
        <v/>
      </c>
      <c r="AC34" s="12">
        <f>COUNTIF(G34:Z34,"L")</f>
        <v/>
      </c>
      <c r="AD34" s="13">
        <f>COUNTIF(G34:Z34,"A")</f>
        <v/>
      </c>
      <c r="AE34" s="14">
        <f>AB34+AC34</f>
        <v/>
      </c>
      <c r="AF34" s="8">
        <f>AE34/16*10</f>
        <v/>
      </c>
      <c r="AG34" s="8">
        <f>AA34</f>
        <v/>
      </c>
      <c r="AH34" s="8" t="n">
        <v>20</v>
      </c>
      <c r="AI34" s="5" t="n"/>
    </row>
    <row r="35">
      <c r="A35" s="50" t="n"/>
      <c r="B35" s="4" t="n">
        <v>27</v>
      </c>
      <c r="C35" s="4" t="n">
        <v>27</v>
      </c>
      <c r="D35" s="7" t="inlineStr">
        <is>
          <t>مهره جمعه سالم سعيد الكعبي</t>
        </is>
      </c>
      <c r="E35" s="15" t="inlineStr">
        <is>
          <t>NA</t>
        </is>
      </c>
      <c r="F35" s="15" t="inlineStr">
        <is>
          <t>NA</t>
        </is>
      </c>
      <c r="G35" s="4" t="n"/>
      <c r="H35" s="4" t="n"/>
      <c r="I35" s="4" t="n"/>
      <c r="J35" s="4" t="n"/>
      <c r="K35" s="9" t="n">
        <v>0</v>
      </c>
      <c r="L35" s="4" t="n"/>
      <c r="M35" s="4" t="n"/>
      <c r="N35" s="4" t="n"/>
      <c r="O35" s="4" t="n"/>
      <c r="P35" s="9" t="n">
        <v>0</v>
      </c>
      <c r="Q35" s="4" t="n"/>
      <c r="R35" s="4" t="n"/>
      <c r="S35" s="4" t="n"/>
      <c r="T35" s="4" t="n"/>
      <c r="U35" s="9" t="n">
        <v>0</v>
      </c>
      <c r="V35" s="4" t="n"/>
      <c r="W35" s="4" t="n"/>
      <c r="X35" s="4" t="n"/>
      <c r="Y35" s="4" t="n"/>
      <c r="Z35" s="9" t="n">
        <v>0</v>
      </c>
      <c r="AA35" s="10">
        <f>AVERAGE(K35,P35,U35,Z35)</f>
        <v/>
      </c>
      <c r="AB35" s="11">
        <f>COUNTIF(G35:Z35,"P")</f>
        <v/>
      </c>
      <c r="AC35" s="12">
        <f>COUNTIF(G35:Z35,"L")</f>
        <v/>
      </c>
      <c r="AD35" s="13">
        <f>COUNTIF(G35:Z35,"A")</f>
        <v/>
      </c>
      <c r="AE35" s="14">
        <f>AB35+AC35</f>
        <v/>
      </c>
      <c r="AF35" s="8">
        <f>AE35/16*10</f>
        <v/>
      </c>
      <c r="AG35" s="8">
        <f>AA35</f>
        <v/>
      </c>
      <c r="AH35" s="8" t="n">
        <v>19</v>
      </c>
      <c r="AI35" s="5" t="n"/>
    </row>
    <row r="36">
      <c r="A36" s="50" t="n"/>
      <c r="B36" s="4" t="n">
        <v>28</v>
      </c>
      <c r="C36" s="4" t="n">
        <v>28</v>
      </c>
      <c r="D36" s="7" t="inlineStr">
        <is>
          <t>مهره سعيد عبيد محمد الكعبي</t>
        </is>
      </c>
      <c r="E36" s="15" t="inlineStr">
        <is>
          <t>NA</t>
        </is>
      </c>
      <c r="F36" s="15" t="inlineStr">
        <is>
          <t>NA</t>
        </is>
      </c>
      <c r="G36" s="4" t="n"/>
      <c r="H36" s="4" t="n"/>
      <c r="I36" s="4" t="n"/>
      <c r="J36" s="4" t="n"/>
      <c r="K36" s="9" t="n">
        <v>5</v>
      </c>
      <c r="L36" s="4" t="inlineStr">
        <is>
          <t>p</t>
        </is>
      </c>
      <c r="M36" s="4" t="inlineStr">
        <is>
          <t>p</t>
        </is>
      </c>
      <c r="N36" s="4" t="inlineStr">
        <is>
          <t>p</t>
        </is>
      </c>
      <c r="O36" s="4" t="inlineStr">
        <is>
          <t>p</t>
        </is>
      </c>
      <c r="P36" s="9" t="n">
        <v>5</v>
      </c>
      <c r="Q36" s="4" t="inlineStr">
        <is>
          <t>p</t>
        </is>
      </c>
      <c r="R36" s="4" t="inlineStr">
        <is>
          <t>p</t>
        </is>
      </c>
      <c r="S36" s="4" t="inlineStr">
        <is>
          <t>p</t>
        </is>
      </c>
      <c r="T36" s="4" t="inlineStr">
        <is>
          <t>p</t>
        </is>
      </c>
      <c r="U36" s="9" t="n">
        <v>5</v>
      </c>
      <c r="V36" s="4" t="inlineStr">
        <is>
          <t>a</t>
        </is>
      </c>
      <c r="W36" s="4" t="inlineStr">
        <is>
          <t>a</t>
        </is>
      </c>
      <c r="X36" s="4" t="inlineStr">
        <is>
          <t>a</t>
        </is>
      </c>
      <c r="Y36" s="4" t="inlineStr">
        <is>
          <t>a</t>
        </is>
      </c>
      <c r="Z36" s="9" t="n">
        <v>5</v>
      </c>
      <c r="AA36" s="10">
        <f>AVERAGE(K36,P36,U36,Z36)</f>
        <v/>
      </c>
      <c r="AB36" s="11">
        <f>COUNTIF(G36:Z36,"P")</f>
        <v/>
      </c>
      <c r="AC36" s="12">
        <f>COUNTIF(G36:Z36,"L")</f>
        <v/>
      </c>
      <c r="AD36" s="13">
        <f>COUNTIF(G36:Z36,"A")</f>
        <v/>
      </c>
      <c r="AE36" s="14">
        <f>AB36+AC36</f>
        <v/>
      </c>
      <c r="AF36" s="8">
        <f>AE36/16*10</f>
        <v/>
      </c>
      <c r="AG36" s="8">
        <f>AA36</f>
        <v/>
      </c>
      <c r="AH36" s="8" t="n">
        <v>19</v>
      </c>
      <c r="AI36" s="5" t="n"/>
    </row>
    <row r="37">
      <c r="A37" s="50" t="n"/>
      <c r="B37" s="4" t="n">
        <v>29</v>
      </c>
      <c r="C37" s="4" t="n">
        <v>29</v>
      </c>
      <c r="D37" s="7" t="inlineStr">
        <is>
          <t>ميره سعيد عبيد محمد الكعبي</t>
        </is>
      </c>
      <c r="E37" s="15" t="inlineStr">
        <is>
          <t>NA</t>
        </is>
      </c>
      <c r="F37" s="15" t="inlineStr">
        <is>
          <t>NA</t>
        </is>
      </c>
      <c r="G37" s="4" t="n"/>
      <c r="H37" s="4" t="n"/>
      <c r="I37" s="4" t="n"/>
      <c r="J37" s="4" t="n"/>
      <c r="K37" s="9" t="n">
        <v>0</v>
      </c>
      <c r="L37" s="4" t="n"/>
      <c r="M37" s="4" t="n"/>
      <c r="N37" s="4" t="n"/>
      <c r="O37" s="4" t="n"/>
      <c r="P37" s="9" t="n">
        <v>0</v>
      </c>
      <c r="Q37" s="4" t="n"/>
      <c r="R37" s="4" t="n"/>
      <c r="S37" s="4" t="n"/>
      <c r="T37" s="4" t="n"/>
      <c r="U37" s="9" t="n">
        <v>0</v>
      </c>
      <c r="V37" s="4" t="n"/>
      <c r="W37" s="4" t="n"/>
      <c r="X37" s="4" t="n"/>
      <c r="Y37" s="4" t="n"/>
      <c r="Z37" s="9" t="n">
        <v>0</v>
      </c>
      <c r="AA37" s="10">
        <f>AVERAGE(K37,P37,U37,Z37)</f>
        <v/>
      </c>
      <c r="AB37" s="11">
        <f>COUNTIF(G37:Z37,"P")</f>
        <v/>
      </c>
      <c r="AC37" s="12">
        <f>COUNTIF(G37:Z37,"L")</f>
        <v/>
      </c>
      <c r="AD37" s="13">
        <f>COUNTIF(G37:Z37,"A")</f>
        <v/>
      </c>
      <c r="AE37" s="14">
        <f>AB37+AC37</f>
        <v/>
      </c>
      <c r="AF37" s="8">
        <f>AE37/16*10</f>
        <v/>
      </c>
      <c r="AG37" s="8">
        <f>AA37</f>
        <v/>
      </c>
      <c r="AH37" s="8" t="n">
        <v>18</v>
      </c>
      <c r="AI37" s="5" t="n"/>
    </row>
    <row r="38">
      <c r="A38" s="50" t="n"/>
      <c r="B38" s="4" t="n">
        <v>30</v>
      </c>
      <c r="C38" s="4" t="n"/>
      <c r="D38" s="7" t="n"/>
      <c r="E38" s="15" t="inlineStr">
        <is>
          <t>NA</t>
        </is>
      </c>
      <c r="F38" s="15" t="inlineStr">
        <is>
          <t>NA</t>
        </is>
      </c>
      <c r="G38" s="4" t="n"/>
      <c r="H38" s="4" t="n"/>
      <c r="I38" s="4" t="n"/>
      <c r="J38" s="4" t="n"/>
      <c r="K38" s="9" t="n">
        <v>0</v>
      </c>
      <c r="L38" s="4" t="n"/>
      <c r="M38" s="4" t="n"/>
      <c r="N38" s="4" t="n"/>
      <c r="O38" s="4" t="n"/>
      <c r="P38" s="9" t="n">
        <v>0</v>
      </c>
      <c r="Q38" s="4" t="n"/>
      <c r="R38" s="4" t="n"/>
      <c r="S38" s="4" t="n"/>
      <c r="T38" s="4" t="n"/>
      <c r="U38" s="9" t="n">
        <v>0</v>
      </c>
      <c r="V38" s="4" t="n"/>
      <c r="W38" s="4" t="n"/>
      <c r="X38" s="4" t="n"/>
      <c r="Y38" s="4" t="n"/>
      <c r="Z38" s="9" t="n">
        <v>0</v>
      </c>
      <c r="AA38" s="10">
        <f>AVERAGE(K38,P38,U38,Z38)</f>
        <v/>
      </c>
      <c r="AB38" s="11">
        <f>COUNTIF(G38:Z38,"P")</f>
        <v/>
      </c>
      <c r="AC38" s="12">
        <f>COUNTIF(G38:Z38,"L")</f>
        <v/>
      </c>
      <c r="AD38" s="13">
        <f>COUNTIF(G38:Z38,"A")</f>
        <v/>
      </c>
      <c r="AE38" s="14">
        <f>AB38+AC38</f>
        <v/>
      </c>
      <c r="AF38" s="8">
        <f>AE38/16*10</f>
        <v/>
      </c>
      <c r="AG38" s="8">
        <f>AA38</f>
        <v/>
      </c>
      <c r="AH38" s="8" t="n"/>
      <c r="AI38" s="5" t="n"/>
    </row>
    <row r="39">
      <c r="A39" s="50" t="n"/>
      <c r="B39" s="4" t="n">
        <v>31</v>
      </c>
      <c r="C39" s="4" t="n"/>
      <c r="D39" s="7" t="n"/>
      <c r="E39" s="15" t="inlineStr">
        <is>
          <t>NA</t>
        </is>
      </c>
      <c r="F39" s="15" t="inlineStr">
        <is>
          <t>NA</t>
        </is>
      </c>
      <c r="G39" s="4" t="n"/>
      <c r="H39" s="4" t="n"/>
      <c r="I39" s="4" t="n"/>
      <c r="J39" s="4" t="n"/>
      <c r="K39" s="9" t="n">
        <v>0</v>
      </c>
      <c r="L39" s="4" t="n"/>
      <c r="M39" s="4" t="n"/>
      <c r="N39" s="4" t="n"/>
      <c r="O39" s="4" t="n"/>
      <c r="P39" s="9" t="n">
        <v>0</v>
      </c>
      <c r="Q39" s="4" t="n"/>
      <c r="R39" s="4" t="n"/>
      <c r="S39" s="4" t="n"/>
      <c r="T39" s="4" t="n"/>
      <c r="U39" s="9" t="n">
        <v>0</v>
      </c>
      <c r="V39" s="4" t="n"/>
      <c r="W39" s="4" t="n"/>
      <c r="X39" s="4" t="n"/>
      <c r="Y39" s="4" t="n"/>
      <c r="Z39" s="9" t="n">
        <v>0</v>
      </c>
      <c r="AA39" s="10">
        <f>AVERAGE(K39,P39,U39,Z39)</f>
        <v/>
      </c>
      <c r="AB39" s="11">
        <f>COUNTIF(G39:Z39,"P")</f>
        <v/>
      </c>
      <c r="AC39" s="12">
        <f>COUNTIF(G39:Z39,"L")</f>
        <v/>
      </c>
      <c r="AD39" s="13">
        <f>COUNTIF(G39:Z39,"A")</f>
        <v/>
      </c>
      <c r="AE39" s="14">
        <f>AB39+AC39</f>
        <v/>
      </c>
      <c r="AF39" s="8">
        <f>AE39/16*10</f>
        <v/>
      </c>
      <c r="AG39" s="8">
        <f>AA39</f>
        <v/>
      </c>
      <c r="AH39" s="8" t="n"/>
      <c r="AI39" s="5" t="n"/>
    </row>
    <row r="40">
      <c r="A40" s="50" t="n"/>
      <c r="B40" s="4" t="n">
        <v>32</v>
      </c>
      <c r="C40" s="4" t="n"/>
      <c r="D40" s="7" t="n"/>
      <c r="E40" s="15" t="inlineStr">
        <is>
          <t>NA</t>
        </is>
      </c>
      <c r="F40" s="15" t="inlineStr">
        <is>
          <t>NA</t>
        </is>
      </c>
      <c r="G40" s="4" t="n"/>
      <c r="H40" s="4" t="n"/>
      <c r="I40" s="4" t="n"/>
      <c r="J40" s="4" t="n"/>
      <c r="K40" s="9" t="n">
        <v>0</v>
      </c>
      <c r="L40" s="4" t="n"/>
      <c r="M40" s="4" t="n"/>
      <c r="N40" s="4" t="n"/>
      <c r="O40" s="4" t="n"/>
      <c r="P40" s="9" t="n">
        <v>0</v>
      </c>
      <c r="Q40" s="4" t="n"/>
      <c r="R40" s="4" t="n"/>
      <c r="S40" s="4" t="n"/>
      <c r="T40" s="4" t="n"/>
      <c r="U40" s="9" t="n">
        <v>0</v>
      </c>
      <c r="V40" s="4" t="n"/>
      <c r="W40" s="4" t="n"/>
      <c r="X40" s="4" t="n"/>
      <c r="Y40" s="4" t="n"/>
      <c r="Z40" s="9" t="n">
        <v>0</v>
      </c>
      <c r="AA40" s="10">
        <f>AVERAGE(K40,P40,U40,Z40)</f>
        <v/>
      </c>
      <c r="AB40" s="11">
        <f>COUNTIF(G40:Z40,"P")</f>
        <v/>
      </c>
      <c r="AC40" s="12">
        <f>COUNTIF(G40:Z40,"L")</f>
        <v/>
      </c>
      <c r="AD40" s="13">
        <f>COUNTIF(G40:Z40,"A")</f>
        <v/>
      </c>
      <c r="AE40" s="14">
        <f>AB40+AC40</f>
        <v/>
      </c>
      <c r="AF40" s="8">
        <f>AE40/16*10</f>
        <v/>
      </c>
      <c r="AG40" s="8">
        <f>AA40</f>
        <v/>
      </c>
      <c r="AH40" s="8" t="n"/>
      <c r="AI40" s="5" t="n"/>
    </row>
    <row r="41">
      <c r="A41" s="50" t="n"/>
      <c r="B41" s="4" t="n">
        <v>33</v>
      </c>
      <c r="C41" s="4" t="n"/>
      <c r="D41" s="7" t="n"/>
      <c r="E41" s="15" t="inlineStr">
        <is>
          <t>NA</t>
        </is>
      </c>
      <c r="F41" s="15" t="inlineStr">
        <is>
          <t>NA</t>
        </is>
      </c>
      <c r="G41" s="4" t="n"/>
      <c r="H41" s="4" t="n"/>
      <c r="I41" s="4" t="n"/>
      <c r="J41" s="4" t="n"/>
      <c r="K41" s="9" t="n">
        <v>0</v>
      </c>
      <c r="L41" s="4" t="n"/>
      <c r="M41" s="4" t="n"/>
      <c r="N41" s="4" t="n"/>
      <c r="O41" s="4" t="n"/>
      <c r="P41" s="9" t="n">
        <v>0</v>
      </c>
      <c r="Q41" s="4" t="n"/>
      <c r="R41" s="4" t="n"/>
      <c r="S41" s="4" t="n"/>
      <c r="T41" s="4" t="n"/>
      <c r="U41" s="9" t="n">
        <v>0</v>
      </c>
      <c r="V41" s="4" t="n"/>
      <c r="W41" s="4" t="n"/>
      <c r="X41" s="4" t="n"/>
      <c r="Y41" s="4" t="n"/>
      <c r="Z41" s="9" t="n">
        <v>0</v>
      </c>
      <c r="AA41" s="10">
        <f>AVERAGE(K41,P41,U41,Z41)</f>
        <v/>
      </c>
      <c r="AB41" s="11">
        <f>COUNTIF(G41:Z41,"P")</f>
        <v/>
      </c>
      <c r="AC41" s="12">
        <f>COUNTIF(G41:Z41,"L")</f>
        <v/>
      </c>
      <c r="AD41" s="13">
        <f>COUNTIF(G41:Z41,"A")</f>
        <v/>
      </c>
      <c r="AE41" s="14">
        <f>AB41+AC41</f>
        <v/>
      </c>
      <c r="AF41" s="8">
        <f>AE41/16*10</f>
        <v/>
      </c>
      <c r="AG41" s="8">
        <f>AA41</f>
        <v/>
      </c>
      <c r="AH41" s="8" t="n"/>
      <c r="AI41" s="5" t="n"/>
    </row>
    <row r="42">
      <c r="A42" s="50" t="n"/>
      <c r="B42" s="4" t="n">
        <v>34</v>
      </c>
      <c r="C42" s="4" t="n"/>
      <c r="D42" s="7" t="n"/>
      <c r="E42" s="15" t="inlineStr">
        <is>
          <t>NA</t>
        </is>
      </c>
      <c r="F42" s="15" t="inlineStr">
        <is>
          <t>NA</t>
        </is>
      </c>
      <c r="G42" s="4" t="n"/>
      <c r="H42" s="4" t="n"/>
      <c r="I42" s="4" t="n"/>
      <c r="J42" s="4" t="n"/>
      <c r="K42" s="9" t="n">
        <v>0</v>
      </c>
      <c r="L42" s="4" t="n"/>
      <c r="M42" s="4" t="n"/>
      <c r="N42" s="4" t="n"/>
      <c r="O42" s="4" t="n"/>
      <c r="P42" s="9" t="n">
        <v>0</v>
      </c>
      <c r="Q42" s="4" t="n"/>
      <c r="R42" s="4" t="n"/>
      <c r="S42" s="4" t="n"/>
      <c r="T42" s="4" t="n"/>
      <c r="U42" s="9" t="n">
        <v>0</v>
      </c>
      <c r="V42" s="4" t="n"/>
      <c r="W42" s="4" t="n"/>
      <c r="X42" s="4" t="n"/>
      <c r="Y42" s="4" t="n"/>
      <c r="Z42" s="9" t="n">
        <v>0</v>
      </c>
      <c r="AA42" s="10">
        <f>AVERAGE(K42,P42,U42,Z42)</f>
        <v/>
      </c>
      <c r="AB42" s="11">
        <f>COUNTIF(G42:Z42,"P")</f>
        <v/>
      </c>
      <c r="AC42" s="12">
        <f>COUNTIF(G42:Z42,"L")</f>
        <v/>
      </c>
      <c r="AD42" s="13">
        <f>COUNTIF(G42:Z42,"A")</f>
        <v/>
      </c>
      <c r="AE42" s="14">
        <f>AB42+AC42</f>
        <v/>
      </c>
      <c r="AF42" s="8">
        <f>AE42/16*10</f>
        <v/>
      </c>
      <c r="AG42" s="8">
        <f>AA42</f>
        <v/>
      </c>
      <c r="AH42" s="8" t="n"/>
      <c r="AI42" s="5" t="n"/>
    </row>
    <row r="43">
      <c r="A43" s="50" t="n"/>
      <c r="B43" s="4" t="n">
        <v>35</v>
      </c>
      <c r="C43" s="4" t="n"/>
      <c r="D43" s="7" t="n"/>
      <c r="E43" s="15" t="inlineStr">
        <is>
          <t>NA</t>
        </is>
      </c>
      <c r="F43" s="15" t="inlineStr">
        <is>
          <t>NA</t>
        </is>
      </c>
      <c r="G43" s="4" t="n"/>
      <c r="H43" s="4" t="n"/>
      <c r="I43" s="4" t="n"/>
      <c r="J43" s="4" t="n"/>
      <c r="K43" s="9" t="n">
        <v>0</v>
      </c>
      <c r="L43" s="4" t="n"/>
      <c r="M43" s="4" t="n"/>
      <c r="N43" s="4" t="n"/>
      <c r="O43" s="4" t="n"/>
      <c r="P43" s="9" t="n">
        <v>0</v>
      </c>
      <c r="Q43" s="4" t="n"/>
      <c r="R43" s="4" t="n"/>
      <c r="S43" s="4" t="n"/>
      <c r="T43" s="4" t="n"/>
      <c r="U43" s="9" t="n">
        <v>0</v>
      </c>
      <c r="V43" s="4" t="n"/>
      <c r="W43" s="4" t="n"/>
      <c r="X43" s="4" t="n"/>
      <c r="Y43" s="4" t="n"/>
      <c r="Z43" s="9" t="n">
        <v>0</v>
      </c>
      <c r="AA43" s="10">
        <f>AVERAGE(K43,P43,U43,Z43)</f>
        <v/>
      </c>
      <c r="AB43" s="11">
        <f>COUNTIF(G43:Z43,"P")</f>
        <v/>
      </c>
      <c r="AC43" s="12">
        <f>COUNTIF(G43:Z43,"L")</f>
        <v/>
      </c>
      <c r="AD43" s="13">
        <f>COUNTIF(G43:Z43,"A")</f>
        <v/>
      </c>
      <c r="AE43" s="14">
        <f>AB43+AC43</f>
        <v/>
      </c>
      <c r="AF43" s="8">
        <f>AE43/16*10</f>
        <v/>
      </c>
      <c r="AG43" s="8">
        <f>AA43</f>
        <v/>
      </c>
      <c r="AH43" s="8" t="n"/>
      <c r="AI43" s="5" t="n"/>
    </row>
    <row r="44">
      <c r="A44" s="50" t="n"/>
      <c r="B44" s="4" t="n">
        <v>36</v>
      </c>
      <c r="C44" s="4" t="n"/>
      <c r="D44" s="7" t="n"/>
      <c r="E44" s="15" t="inlineStr">
        <is>
          <t>NA</t>
        </is>
      </c>
      <c r="F44" s="15" t="inlineStr">
        <is>
          <t>NA</t>
        </is>
      </c>
      <c r="G44" s="4" t="n"/>
      <c r="H44" s="4" t="n"/>
      <c r="I44" s="4" t="n"/>
      <c r="J44" s="4" t="n"/>
      <c r="K44" s="9" t="n">
        <v>0</v>
      </c>
      <c r="L44" s="4" t="n"/>
      <c r="M44" s="4" t="n"/>
      <c r="N44" s="4" t="n"/>
      <c r="O44" s="4" t="n"/>
      <c r="P44" s="9" t="n">
        <v>0</v>
      </c>
      <c r="Q44" s="4" t="n"/>
      <c r="R44" s="4" t="n"/>
      <c r="S44" s="4" t="n"/>
      <c r="T44" s="4" t="n"/>
      <c r="U44" s="9" t="n">
        <v>0</v>
      </c>
      <c r="V44" s="4" t="n"/>
      <c r="W44" s="4" t="n"/>
      <c r="X44" s="4" t="n"/>
      <c r="Y44" s="4" t="n"/>
      <c r="Z44" s="9" t="n">
        <v>0</v>
      </c>
      <c r="AA44" s="10">
        <f>AVERAGE(K44,P44,U44,Z44)</f>
        <v/>
      </c>
      <c r="AB44" s="11">
        <f>COUNTIF(G44:Z44,"P")</f>
        <v/>
      </c>
      <c r="AC44" s="12">
        <f>COUNTIF(G44:Z44,"L")</f>
        <v/>
      </c>
      <c r="AD44" s="13">
        <f>COUNTIF(G44:Z44,"A")</f>
        <v/>
      </c>
      <c r="AE44" s="14">
        <f>AB44+AC44</f>
        <v/>
      </c>
      <c r="AF44" s="8">
        <f>AE44/16*10</f>
        <v/>
      </c>
      <c r="AG44" s="8">
        <f>AA44</f>
        <v/>
      </c>
      <c r="AH44" s="8" t="n"/>
      <c r="AI44" s="5" t="n"/>
    </row>
    <row r="45">
      <c r="A45" s="50" t="n"/>
      <c r="B45" s="4" t="n">
        <v>37</v>
      </c>
      <c r="C45" s="4" t="n"/>
      <c r="D45" s="7" t="n"/>
      <c r="E45" s="15" t="inlineStr">
        <is>
          <t>NA</t>
        </is>
      </c>
      <c r="F45" s="15" t="inlineStr">
        <is>
          <t>NA</t>
        </is>
      </c>
      <c r="G45" s="4" t="n"/>
      <c r="H45" s="4" t="n"/>
      <c r="I45" s="4" t="n"/>
      <c r="J45" s="4" t="n"/>
      <c r="K45" s="9" t="n">
        <v>0</v>
      </c>
      <c r="L45" s="4" t="n"/>
      <c r="M45" s="4" t="n"/>
      <c r="N45" s="4" t="n"/>
      <c r="O45" s="4" t="n"/>
      <c r="P45" s="9" t="n">
        <v>0</v>
      </c>
      <c r="Q45" s="4" t="n"/>
      <c r="R45" s="4" t="n"/>
      <c r="S45" s="4" t="n"/>
      <c r="T45" s="4" t="n"/>
      <c r="U45" s="9" t="n">
        <v>0</v>
      </c>
      <c r="V45" s="4" t="n"/>
      <c r="W45" s="4" t="n"/>
      <c r="X45" s="4" t="n"/>
      <c r="Y45" s="4" t="n"/>
      <c r="Z45" s="9" t="n">
        <v>0</v>
      </c>
      <c r="AA45" s="10">
        <f>AVERAGE(K45,P45,U45,Z45)</f>
        <v/>
      </c>
      <c r="AB45" s="11">
        <f>COUNTIF(G45:Z45,"P")</f>
        <v/>
      </c>
      <c r="AC45" s="12">
        <f>COUNTIF(G45:Z45,"L")</f>
        <v/>
      </c>
      <c r="AD45" s="13">
        <f>COUNTIF(G45:Z45,"A")</f>
        <v/>
      </c>
      <c r="AE45" s="14">
        <f>AB45+AC45</f>
        <v/>
      </c>
      <c r="AF45" s="8">
        <f>AE45/16*10</f>
        <v/>
      </c>
      <c r="AG45" s="8">
        <f>AA45</f>
        <v/>
      </c>
      <c r="AH45" s="8" t="n"/>
      <c r="AI45" s="5" t="n"/>
    </row>
    <row r="46">
      <c r="A46" s="50" t="n"/>
      <c r="B46" s="4" t="n">
        <v>38</v>
      </c>
      <c r="C46" s="4" t="n"/>
      <c r="D46" s="7" t="n"/>
      <c r="E46" s="15" t="inlineStr">
        <is>
          <t>NA</t>
        </is>
      </c>
      <c r="F46" s="15" t="inlineStr">
        <is>
          <t>NA</t>
        </is>
      </c>
      <c r="G46" s="4" t="n"/>
      <c r="H46" s="4" t="n"/>
      <c r="I46" s="4" t="n"/>
      <c r="J46" s="4" t="n"/>
      <c r="K46" s="9" t="n">
        <v>0</v>
      </c>
      <c r="L46" s="4" t="n"/>
      <c r="M46" s="4" t="n"/>
      <c r="N46" s="4" t="n"/>
      <c r="O46" s="4" t="n"/>
      <c r="P46" s="9" t="n">
        <v>0</v>
      </c>
      <c r="Q46" s="4" t="n"/>
      <c r="R46" s="4" t="n"/>
      <c r="S46" s="4" t="n"/>
      <c r="T46" s="4" t="n"/>
      <c r="U46" s="9" t="n">
        <v>0</v>
      </c>
      <c r="V46" s="4" t="n"/>
      <c r="W46" s="4" t="n"/>
      <c r="X46" s="4" t="n"/>
      <c r="Y46" s="4" t="n"/>
      <c r="Z46" s="9" t="n">
        <v>0</v>
      </c>
      <c r="AA46" s="10">
        <f>AVERAGE(K46,P46,U46,Z46)</f>
        <v/>
      </c>
      <c r="AB46" s="11">
        <f>COUNTIF(G46:Z46,"P")</f>
        <v/>
      </c>
      <c r="AC46" s="12">
        <f>COUNTIF(G46:Z46,"L")</f>
        <v/>
      </c>
      <c r="AD46" s="13">
        <f>COUNTIF(G46:Z46,"A")</f>
        <v/>
      </c>
      <c r="AE46" s="14">
        <f>AB46+AC46</f>
        <v/>
      </c>
      <c r="AF46" s="8">
        <f>AE46/16*10</f>
        <v/>
      </c>
      <c r="AG46" s="8">
        <f>AA46</f>
        <v/>
      </c>
      <c r="AH46" s="8" t="n"/>
      <c r="AI46" s="5" t="n"/>
    </row>
    <row r="47">
      <c r="A47" s="50" t="n"/>
      <c r="B47" s="4" t="n">
        <v>39</v>
      </c>
      <c r="C47" s="4" t="n"/>
      <c r="D47" s="7" t="n"/>
      <c r="E47" s="15" t="inlineStr">
        <is>
          <t>NA</t>
        </is>
      </c>
      <c r="F47" s="15" t="inlineStr">
        <is>
          <t>NA</t>
        </is>
      </c>
      <c r="G47" s="4" t="n"/>
      <c r="H47" s="4" t="n"/>
      <c r="I47" s="4" t="n"/>
      <c r="J47" s="4" t="n"/>
      <c r="K47" s="9" t="n">
        <v>0</v>
      </c>
      <c r="L47" s="4" t="n"/>
      <c r="M47" s="4" t="n"/>
      <c r="N47" s="4" t="n"/>
      <c r="O47" s="4" t="n"/>
      <c r="P47" s="9" t="n">
        <v>0</v>
      </c>
      <c r="Q47" s="4" t="n"/>
      <c r="R47" s="4" t="n"/>
      <c r="S47" s="4" t="n"/>
      <c r="T47" s="4" t="n"/>
      <c r="U47" s="9" t="n">
        <v>0</v>
      </c>
      <c r="V47" s="4" t="n"/>
      <c r="W47" s="4" t="n"/>
      <c r="X47" s="4" t="n"/>
      <c r="Y47" s="4" t="n"/>
      <c r="Z47" s="9" t="n">
        <v>0</v>
      </c>
      <c r="AA47" s="10">
        <f>AVERAGE(K47,P47,U47,Z47)</f>
        <v/>
      </c>
      <c r="AB47" s="11">
        <f>COUNTIF(G47:Z47,"P")</f>
        <v/>
      </c>
      <c r="AC47" s="12">
        <f>COUNTIF(G47:Z47,"L")</f>
        <v/>
      </c>
      <c r="AD47" s="13">
        <f>COUNTIF(G47:Z47,"A")</f>
        <v/>
      </c>
      <c r="AE47" s="14">
        <f>AB47+AC47</f>
        <v/>
      </c>
      <c r="AF47" s="8">
        <f>AE47/16*10</f>
        <v/>
      </c>
      <c r="AG47" s="8">
        <f>AA47</f>
        <v/>
      </c>
      <c r="AH47" s="8" t="n"/>
      <c r="AI47" s="5" t="n"/>
    </row>
    <row r="48">
      <c r="A48" s="50" t="n"/>
      <c r="B48" s="4" t="n">
        <v>40</v>
      </c>
      <c r="C48" s="4" t="n"/>
      <c r="D48" s="7" t="n"/>
      <c r="E48" s="15" t="inlineStr">
        <is>
          <t>NA</t>
        </is>
      </c>
      <c r="F48" s="15" t="inlineStr">
        <is>
          <t>NA</t>
        </is>
      </c>
      <c r="G48" s="4" t="n"/>
      <c r="H48" s="4" t="n"/>
      <c r="I48" s="4" t="n"/>
      <c r="J48" s="4" t="n"/>
      <c r="K48" s="9" t="n">
        <v>0</v>
      </c>
      <c r="L48" s="4" t="n"/>
      <c r="M48" s="4" t="n"/>
      <c r="N48" s="4" t="n"/>
      <c r="O48" s="4" t="n"/>
      <c r="P48" s="9" t="n">
        <v>0</v>
      </c>
      <c r="Q48" s="4" t="n"/>
      <c r="R48" s="4" t="n"/>
      <c r="S48" s="4" t="n"/>
      <c r="T48" s="4" t="n"/>
      <c r="U48" s="9" t="n">
        <v>0</v>
      </c>
      <c r="V48" s="4" t="n"/>
      <c r="W48" s="4" t="n"/>
      <c r="X48" s="4" t="n"/>
      <c r="Y48" s="4" t="n"/>
      <c r="Z48" s="9" t="n">
        <v>0</v>
      </c>
      <c r="AA48" s="10">
        <f>AVERAGE(K48,P48,U48,Z48)</f>
        <v/>
      </c>
      <c r="AB48" s="11">
        <f>COUNTIF(G48:Z48,"P")</f>
        <v/>
      </c>
      <c r="AC48" s="12">
        <f>COUNTIF(G48:Z48,"L")</f>
        <v/>
      </c>
      <c r="AD48" s="13">
        <f>COUNTIF(G48:Z48,"A")</f>
        <v/>
      </c>
      <c r="AE48" s="14">
        <f>AB48+AC48</f>
        <v/>
      </c>
      <c r="AF48" s="8">
        <f>AE48/16*10</f>
        <v/>
      </c>
      <c r="AG48" s="8">
        <f>AA48</f>
        <v/>
      </c>
      <c r="AH48" s="8" t="n"/>
      <c r="AI48" s="5" t="n"/>
    </row>
    <row r="49">
      <c r="A49" s="50" t="n"/>
      <c r="B49" s="4" t="n">
        <v>41</v>
      </c>
      <c r="C49" s="4" t="n"/>
      <c r="D49" s="7" t="n"/>
      <c r="E49" s="15" t="inlineStr">
        <is>
          <t>NA</t>
        </is>
      </c>
      <c r="F49" s="15" t="inlineStr">
        <is>
          <t>NA</t>
        </is>
      </c>
      <c r="G49" s="4" t="n"/>
      <c r="H49" s="4" t="n"/>
      <c r="I49" s="4" t="n"/>
      <c r="J49" s="4" t="n"/>
      <c r="K49" s="9" t="n">
        <v>0</v>
      </c>
      <c r="L49" s="4" t="n"/>
      <c r="M49" s="4" t="n"/>
      <c r="N49" s="4" t="n"/>
      <c r="O49" s="4" t="n"/>
      <c r="P49" s="9" t="n">
        <v>0</v>
      </c>
      <c r="Q49" s="4" t="n"/>
      <c r="R49" s="4" t="n"/>
      <c r="S49" s="4" t="n"/>
      <c r="T49" s="4" t="n"/>
      <c r="U49" s="9" t="n">
        <v>0</v>
      </c>
      <c r="V49" s="4" t="n"/>
      <c r="W49" s="4" t="n"/>
      <c r="X49" s="4" t="n"/>
      <c r="Y49" s="4" t="n"/>
      <c r="Z49" s="9" t="n">
        <v>0</v>
      </c>
      <c r="AA49" s="10">
        <f>AVERAGE(K49,P49,U49,Z49)</f>
        <v/>
      </c>
      <c r="AB49" s="11">
        <f>COUNTIF(G49:Z49,"P")</f>
        <v/>
      </c>
      <c r="AC49" s="12">
        <f>COUNTIF(G49:Z49,"L")</f>
        <v/>
      </c>
      <c r="AD49" s="13">
        <f>COUNTIF(G49:Z49,"A")</f>
        <v/>
      </c>
      <c r="AE49" s="14">
        <f>AB49+AC49</f>
        <v/>
      </c>
      <c r="AF49" s="8">
        <f>AE49/16*10</f>
        <v/>
      </c>
      <c r="AG49" s="8">
        <f>AA49</f>
        <v/>
      </c>
      <c r="AH49" s="8" t="n"/>
      <c r="AI49" s="5" t="n"/>
    </row>
    <row r="50">
      <c r="A50" s="50" t="n"/>
      <c r="B50" s="4" t="n">
        <v>42</v>
      </c>
      <c r="C50" s="4" t="n"/>
      <c r="D50" s="7" t="n"/>
      <c r="E50" s="15" t="inlineStr">
        <is>
          <t>NA</t>
        </is>
      </c>
      <c r="F50" s="15" t="inlineStr">
        <is>
          <t>NA</t>
        </is>
      </c>
      <c r="G50" s="4" t="n"/>
      <c r="H50" s="4" t="n"/>
      <c r="I50" s="4" t="n"/>
      <c r="J50" s="4" t="n"/>
      <c r="K50" s="9" t="n">
        <v>0</v>
      </c>
      <c r="L50" s="4" t="n"/>
      <c r="M50" s="4" t="n"/>
      <c r="N50" s="4" t="n"/>
      <c r="O50" s="4" t="n"/>
      <c r="P50" s="9" t="n">
        <v>0</v>
      </c>
      <c r="Q50" s="4" t="n"/>
      <c r="R50" s="4" t="n"/>
      <c r="S50" s="4" t="n"/>
      <c r="T50" s="4" t="n"/>
      <c r="U50" s="9" t="n">
        <v>0</v>
      </c>
      <c r="V50" s="4" t="n"/>
      <c r="W50" s="4" t="n"/>
      <c r="X50" s="4" t="n"/>
      <c r="Y50" s="4" t="n"/>
      <c r="Z50" s="9" t="n">
        <v>0</v>
      </c>
      <c r="AA50" s="10">
        <f>AVERAGE(K50,P50,U50,Z50)</f>
        <v/>
      </c>
      <c r="AB50" s="11">
        <f>COUNTIF(G50:Z50,"P")</f>
        <v/>
      </c>
      <c r="AC50" s="12">
        <f>COUNTIF(G50:Z50,"L")</f>
        <v/>
      </c>
      <c r="AD50" s="13">
        <f>COUNTIF(G50:Z50,"A")</f>
        <v/>
      </c>
      <c r="AE50" s="14">
        <f>AB50+AC50</f>
        <v/>
      </c>
      <c r="AF50" s="8">
        <f>AE50/16*10</f>
        <v/>
      </c>
      <c r="AG50" s="8">
        <f>AA50</f>
        <v/>
      </c>
      <c r="AH50" s="8" t="n"/>
      <c r="AI50" s="5" t="n"/>
    </row>
    <row r="51">
      <c r="A51" s="50" t="n"/>
      <c r="B51" s="4" t="n">
        <v>43</v>
      </c>
      <c r="C51" s="4" t="n"/>
      <c r="D51" s="7" t="n"/>
      <c r="E51" s="15" t="inlineStr">
        <is>
          <t>NA</t>
        </is>
      </c>
      <c r="F51" s="15" t="inlineStr">
        <is>
          <t>NA</t>
        </is>
      </c>
      <c r="G51" s="4" t="n"/>
      <c r="H51" s="4" t="n"/>
      <c r="I51" s="4" t="n"/>
      <c r="J51" s="4" t="n"/>
      <c r="K51" s="9" t="n">
        <v>0</v>
      </c>
      <c r="L51" s="4" t="n"/>
      <c r="M51" s="4" t="n"/>
      <c r="N51" s="4" t="n"/>
      <c r="O51" s="4" t="n"/>
      <c r="P51" s="9" t="n">
        <v>0</v>
      </c>
      <c r="Q51" s="4" t="n"/>
      <c r="R51" s="4" t="n"/>
      <c r="S51" s="4" t="n"/>
      <c r="T51" s="4" t="n"/>
      <c r="U51" s="9" t="n">
        <v>0</v>
      </c>
      <c r="V51" s="4" t="n"/>
      <c r="W51" s="4" t="n"/>
      <c r="X51" s="4" t="n"/>
      <c r="Y51" s="4" t="n"/>
      <c r="Z51" s="9" t="n">
        <v>0</v>
      </c>
      <c r="AA51" s="10">
        <f>AVERAGE(K51,P51,U51,Z51)</f>
        <v/>
      </c>
      <c r="AB51" s="11">
        <f>COUNTIF(G51:Z51,"P")</f>
        <v/>
      </c>
      <c r="AC51" s="12">
        <f>COUNTIF(G51:Z51,"L")</f>
        <v/>
      </c>
      <c r="AD51" s="13">
        <f>COUNTIF(G51:Z51,"A")</f>
        <v/>
      </c>
      <c r="AE51" s="14">
        <f>AB51+AC51</f>
        <v/>
      </c>
      <c r="AF51" s="8">
        <f>AE51/16*10</f>
        <v/>
      </c>
      <c r="AG51" s="8">
        <f>AA51</f>
        <v/>
      </c>
      <c r="AH51" s="8" t="n"/>
      <c r="AI51" s="5" t="n"/>
    </row>
    <row r="52">
      <c r="A52" s="50" t="n"/>
      <c r="B52" s="4" t="n">
        <v>44</v>
      </c>
      <c r="C52" s="4" t="n"/>
      <c r="D52" s="7" t="n"/>
      <c r="E52" s="15" t="inlineStr">
        <is>
          <t>NA</t>
        </is>
      </c>
      <c r="F52" s="15" t="inlineStr">
        <is>
          <t>NA</t>
        </is>
      </c>
      <c r="G52" s="4" t="n"/>
      <c r="H52" s="4" t="n"/>
      <c r="I52" s="4" t="n"/>
      <c r="J52" s="4" t="n"/>
      <c r="K52" s="9" t="n">
        <v>0</v>
      </c>
      <c r="L52" s="4" t="n"/>
      <c r="M52" s="4" t="n"/>
      <c r="N52" s="4" t="n"/>
      <c r="O52" s="4" t="n"/>
      <c r="P52" s="9" t="n">
        <v>0</v>
      </c>
      <c r="Q52" s="4" t="n"/>
      <c r="R52" s="4" t="n"/>
      <c r="S52" s="4" t="n"/>
      <c r="T52" s="4" t="n"/>
      <c r="U52" s="9" t="n">
        <v>0</v>
      </c>
      <c r="V52" s="4" t="n"/>
      <c r="W52" s="4" t="n"/>
      <c r="X52" s="4" t="n"/>
      <c r="Y52" s="4" t="n"/>
      <c r="Z52" s="9" t="n">
        <v>0</v>
      </c>
      <c r="AA52" s="10">
        <f>AVERAGE(K52,P52,U52,Z52)</f>
        <v/>
      </c>
      <c r="AB52" s="11">
        <f>COUNTIF(G52:Z52,"P")</f>
        <v/>
      </c>
      <c r="AC52" s="12">
        <f>COUNTIF(G52:Z52,"L")</f>
        <v/>
      </c>
      <c r="AD52" s="13">
        <f>COUNTIF(G52:Z52,"A")</f>
        <v/>
      </c>
      <c r="AE52" s="14">
        <f>AB52+AC52</f>
        <v/>
      </c>
      <c r="AF52" s="8">
        <f>AE52/16*10</f>
        <v/>
      </c>
      <c r="AG52" s="8">
        <f>AA52</f>
        <v/>
      </c>
      <c r="AH52" s="8" t="n"/>
      <c r="AI52" s="5" t="n"/>
    </row>
    <row r="53">
      <c r="A53" s="50" t="n"/>
      <c r="B53" s="4" t="n">
        <v>45</v>
      </c>
      <c r="C53" s="4" t="n"/>
      <c r="D53" s="7" t="n"/>
      <c r="E53" s="15" t="inlineStr">
        <is>
          <t>NA</t>
        </is>
      </c>
      <c r="F53" s="15" t="inlineStr">
        <is>
          <t>NA</t>
        </is>
      </c>
      <c r="G53" s="4" t="n"/>
      <c r="H53" s="4" t="n"/>
      <c r="I53" s="4" t="n"/>
      <c r="J53" s="4" t="n"/>
      <c r="K53" s="9" t="n">
        <v>0</v>
      </c>
      <c r="L53" s="4" t="n"/>
      <c r="M53" s="4" t="n"/>
      <c r="N53" s="4" t="n"/>
      <c r="O53" s="4" t="n"/>
      <c r="P53" s="9" t="n">
        <v>0</v>
      </c>
      <c r="Q53" s="4" t="n"/>
      <c r="R53" s="4" t="n"/>
      <c r="S53" s="4" t="n"/>
      <c r="T53" s="4" t="n"/>
      <c r="U53" s="9" t="n">
        <v>0</v>
      </c>
      <c r="V53" s="4" t="n"/>
      <c r="W53" s="4" t="n"/>
      <c r="X53" s="4" t="n"/>
      <c r="Y53" s="4" t="n"/>
      <c r="Z53" s="9" t="n">
        <v>0</v>
      </c>
      <c r="AA53" s="10">
        <f>AVERAGE(K53,P53,U53,Z53)</f>
        <v/>
      </c>
      <c r="AB53" s="11">
        <f>COUNTIF(G53:Z53,"P")</f>
        <v/>
      </c>
      <c r="AC53" s="12">
        <f>COUNTIF(G53:Z53,"L")</f>
        <v/>
      </c>
      <c r="AD53" s="13">
        <f>COUNTIF(G53:Z53,"A")</f>
        <v/>
      </c>
      <c r="AE53" s="14">
        <f>AB53+AC53</f>
        <v/>
      </c>
      <c r="AF53" s="8">
        <f>AE53/16*10</f>
        <v/>
      </c>
      <c r="AG53" s="8">
        <f>AA53</f>
        <v/>
      </c>
      <c r="AH53" s="8" t="n"/>
      <c r="AI53" s="5" t="n"/>
    </row>
    <row r="54">
      <c r="A54" s="50" t="n"/>
      <c r="B54" s="4" t="n">
        <v>46</v>
      </c>
      <c r="C54" s="4" t="n"/>
      <c r="D54" s="7" t="n"/>
      <c r="E54" s="15" t="inlineStr">
        <is>
          <t>NA</t>
        </is>
      </c>
      <c r="F54" s="15" t="inlineStr">
        <is>
          <t>NA</t>
        </is>
      </c>
      <c r="G54" s="4" t="n"/>
      <c r="H54" s="4" t="n"/>
      <c r="I54" s="4" t="n"/>
      <c r="J54" s="4" t="n"/>
      <c r="K54" s="9" t="n">
        <v>0</v>
      </c>
      <c r="L54" s="4" t="n"/>
      <c r="M54" s="4" t="n"/>
      <c r="N54" s="4" t="n"/>
      <c r="O54" s="4" t="n"/>
      <c r="P54" s="9" t="n">
        <v>0</v>
      </c>
      <c r="Q54" s="4" t="n"/>
      <c r="R54" s="4" t="n"/>
      <c r="S54" s="4" t="n"/>
      <c r="T54" s="4" t="n"/>
      <c r="U54" s="9" t="n">
        <v>0</v>
      </c>
      <c r="V54" s="4" t="n"/>
      <c r="W54" s="4" t="n"/>
      <c r="X54" s="4" t="n"/>
      <c r="Y54" s="4" t="n"/>
      <c r="Z54" s="9" t="n">
        <v>0</v>
      </c>
      <c r="AA54" s="10">
        <f>AVERAGE(K54,P54,U54,Z54)</f>
        <v/>
      </c>
      <c r="AB54" s="11">
        <f>COUNTIF(G54:Z54,"P")</f>
        <v/>
      </c>
      <c r="AC54" s="12">
        <f>COUNTIF(G54:Z54,"L")</f>
        <v/>
      </c>
      <c r="AD54" s="13">
        <f>COUNTIF(G54:Z54,"A")</f>
        <v/>
      </c>
      <c r="AE54" s="14">
        <f>AB54+AC54</f>
        <v/>
      </c>
      <c r="AF54" s="8">
        <f>AE54/16*10</f>
        <v/>
      </c>
      <c r="AG54" s="8">
        <f>AA54</f>
        <v/>
      </c>
      <c r="AH54" s="8" t="n"/>
      <c r="AI54" s="5" t="n"/>
    </row>
    <row r="55">
      <c r="A55" s="50" t="n"/>
      <c r="B55" s="4" t="n">
        <v>47</v>
      </c>
      <c r="C55" s="4" t="n"/>
      <c r="D55" s="7" t="n"/>
      <c r="E55" s="15" t="inlineStr">
        <is>
          <t>NA</t>
        </is>
      </c>
      <c r="F55" s="15" t="inlineStr">
        <is>
          <t>NA</t>
        </is>
      </c>
      <c r="G55" s="4" t="n"/>
      <c r="H55" s="4" t="n"/>
      <c r="I55" s="4" t="n"/>
      <c r="J55" s="4" t="n"/>
      <c r="K55" s="9" t="n">
        <v>0</v>
      </c>
      <c r="L55" s="4" t="n"/>
      <c r="M55" s="4" t="n"/>
      <c r="N55" s="4" t="n"/>
      <c r="O55" s="4" t="n"/>
      <c r="P55" s="9" t="n">
        <v>0</v>
      </c>
      <c r="Q55" s="4" t="n"/>
      <c r="R55" s="4" t="n"/>
      <c r="S55" s="4" t="n"/>
      <c r="T55" s="4" t="n"/>
      <c r="U55" s="9" t="n">
        <v>0</v>
      </c>
      <c r="V55" s="4" t="n"/>
      <c r="W55" s="4" t="n"/>
      <c r="X55" s="4" t="n"/>
      <c r="Y55" s="4" t="n"/>
      <c r="Z55" s="9" t="n">
        <v>0</v>
      </c>
      <c r="AA55" s="10">
        <f>AVERAGE(K55,P55,U55,Z55)</f>
        <v/>
      </c>
      <c r="AB55" s="11">
        <f>COUNTIF(G55:Z55,"P")</f>
        <v/>
      </c>
      <c r="AC55" s="12">
        <f>COUNTIF(G55:Z55,"L")</f>
        <v/>
      </c>
      <c r="AD55" s="13">
        <f>COUNTIF(G55:Z55,"A")</f>
        <v/>
      </c>
      <c r="AE55" s="14">
        <f>AB55+AC55</f>
        <v/>
      </c>
      <c r="AF55" s="8">
        <f>AE55/16*10</f>
        <v/>
      </c>
      <c r="AG55" s="8">
        <f>AA55</f>
        <v/>
      </c>
      <c r="AH55" s="8" t="n"/>
      <c r="AI55" s="5" t="n"/>
    </row>
    <row r="56">
      <c r="A56" s="50" t="n"/>
      <c r="B56" s="4" t="n">
        <v>48</v>
      </c>
      <c r="C56" s="4" t="n"/>
      <c r="D56" s="7" t="n"/>
      <c r="E56" s="15" t="inlineStr">
        <is>
          <t>NA</t>
        </is>
      </c>
      <c r="F56" s="15" t="inlineStr">
        <is>
          <t>NA</t>
        </is>
      </c>
      <c r="G56" s="4" t="n"/>
      <c r="H56" s="4" t="n"/>
      <c r="I56" s="4" t="n"/>
      <c r="J56" s="4" t="n"/>
      <c r="K56" s="9" t="n">
        <v>0</v>
      </c>
      <c r="L56" s="4" t="n"/>
      <c r="M56" s="4" t="n"/>
      <c r="N56" s="4" t="n"/>
      <c r="O56" s="4" t="n"/>
      <c r="P56" s="9" t="n">
        <v>0</v>
      </c>
      <c r="Q56" s="4" t="n"/>
      <c r="R56" s="4" t="n"/>
      <c r="S56" s="4" t="n"/>
      <c r="T56" s="4" t="n"/>
      <c r="U56" s="9" t="n">
        <v>0</v>
      </c>
      <c r="V56" s="4" t="n"/>
      <c r="W56" s="4" t="n"/>
      <c r="X56" s="4" t="n"/>
      <c r="Y56" s="4" t="n"/>
      <c r="Z56" s="9" t="n">
        <v>0</v>
      </c>
      <c r="AA56" s="10">
        <f>AVERAGE(K56,P56,U56,Z56)</f>
        <v/>
      </c>
      <c r="AB56" s="11">
        <f>COUNTIF(G56:Z56,"P")</f>
        <v/>
      </c>
      <c r="AC56" s="12">
        <f>COUNTIF(G56:Z56,"L")</f>
        <v/>
      </c>
      <c r="AD56" s="13">
        <f>COUNTIF(G56:Z56,"A")</f>
        <v/>
      </c>
      <c r="AE56" s="14">
        <f>AB56+AC56</f>
        <v/>
      </c>
      <c r="AF56" s="8">
        <f>AE56/16*10</f>
        <v/>
      </c>
      <c r="AG56" s="8">
        <f>AA56</f>
        <v/>
      </c>
      <c r="AH56" s="8" t="n"/>
      <c r="AI56" s="5" t="n"/>
    </row>
    <row r="57">
      <c r="A57" s="50" t="n"/>
      <c r="B57" s="4" t="n">
        <v>49</v>
      </c>
      <c r="C57" s="4" t="n"/>
      <c r="D57" s="7" t="n"/>
      <c r="E57" s="15" t="inlineStr">
        <is>
          <t>NA</t>
        </is>
      </c>
      <c r="F57" s="15" t="inlineStr">
        <is>
          <t>NA</t>
        </is>
      </c>
      <c r="G57" s="4" t="n"/>
      <c r="H57" s="4" t="n"/>
      <c r="I57" s="4" t="n"/>
      <c r="J57" s="4" t="n"/>
      <c r="K57" s="9" t="n">
        <v>0</v>
      </c>
      <c r="L57" s="4" t="n"/>
      <c r="M57" s="4" t="n"/>
      <c r="N57" s="4" t="n"/>
      <c r="O57" s="4" t="n"/>
      <c r="P57" s="9" t="n">
        <v>0</v>
      </c>
      <c r="Q57" s="4" t="n"/>
      <c r="R57" s="4" t="n"/>
      <c r="S57" s="4" t="n"/>
      <c r="T57" s="4" t="n"/>
      <c r="U57" s="9" t="n">
        <v>0</v>
      </c>
      <c r="V57" s="4" t="n"/>
      <c r="W57" s="4" t="n"/>
      <c r="X57" s="4" t="n"/>
      <c r="Y57" s="4" t="n"/>
      <c r="Z57" s="9" t="n">
        <v>0</v>
      </c>
      <c r="AA57" s="10">
        <f>AVERAGE(K57,P57,U57,Z57)</f>
        <v/>
      </c>
      <c r="AB57" s="11">
        <f>COUNTIF(G57:Z57,"P")</f>
        <v/>
      </c>
      <c r="AC57" s="12">
        <f>COUNTIF(G57:Z57,"L")</f>
        <v/>
      </c>
      <c r="AD57" s="13">
        <f>COUNTIF(G57:Z57,"A")</f>
        <v/>
      </c>
      <c r="AE57" s="14">
        <f>AB57+AC57</f>
        <v/>
      </c>
      <c r="AF57" s="8">
        <f>AE57/16*10</f>
        <v/>
      </c>
      <c r="AG57" s="8">
        <f>AA57</f>
        <v/>
      </c>
      <c r="AH57" s="8" t="n"/>
      <c r="AI57" s="5" t="n"/>
    </row>
    <row r="58">
      <c r="A58" s="50" t="n"/>
      <c r="B58" s="4" t="n">
        <v>50</v>
      </c>
      <c r="C58" s="4" t="n"/>
      <c r="D58" s="7" t="n"/>
      <c r="E58" s="15" t="inlineStr">
        <is>
          <t>NA</t>
        </is>
      </c>
      <c r="F58" s="15" t="inlineStr">
        <is>
          <t>NA</t>
        </is>
      </c>
      <c r="G58" s="4" t="n"/>
      <c r="H58" s="4" t="n"/>
      <c r="I58" s="4" t="n"/>
      <c r="J58" s="4" t="n"/>
      <c r="K58" s="9" t="n">
        <v>0</v>
      </c>
      <c r="L58" s="4" t="n"/>
      <c r="M58" s="4" t="n"/>
      <c r="N58" s="4" t="n"/>
      <c r="O58" s="4" t="n"/>
      <c r="P58" s="9" t="n">
        <v>0</v>
      </c>
      <c r="Q58" s="4" t="n"/>
      <c r="R58" s="4" t="n"/>
      <c r="S58" s="4" t="n"/>
      <c r="T58" s="4" t="n"/>
      <c r="U58" s="9" t="n">
        <v>0</v>
      </c>
      <c r="V58" s="4" t="n"/>
      <c r="W58" s="4" t="n"/>
      <c r="X58" s="4" t="n"/>
      <c r="Y58" s="4" t="n"/>
      <c r="Z58" s="9" t="n">
        <v>0</v>
      </c>
      <c r="AA58" s="10">
        <f>AVERAGE(K58,P58,U58,Z58)</f>
        <v/>
      </c>
      <c r="AB58" s="11">
        <f>COUNTIF(G58:Z58,"P")</f>
        <v/>
      </c>
      <c r="AC58" s="12">
        <f>COUNTIF(G58:Z58,"L")</f>
        <v/>
      </c>
      <c r="AD58" s="13">
        <f>COUNTIF(G58:Z58,"A")</f>
        <v/>
      </c>
      <c r="AE58" s="14">
        <f>AB58+AC58</f>
        <v/>
      </c>
      <c r="AF58" s="8">
        <f>AE58/16*10</f>
        <v/>
      </c>
      <c r="AG58" s="8">
        <f>AA58</f>
        <v/>
      </c>
      <c r="AH58" s="8" t="n"/>
      <c r="AI58" s="5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  <c r="AH59" s="50" t="n"/>
      <c r="AI59" s="50" t="n"/>
    </row>
  </sheetData>
  <mergeCells count="23">
    <mergeCell ref="Q7:R7"/>
    <mergeCell ref="L7:M7"/>
    <mergeCell ref="N7:O7"/>
    <mergeCell ref="A3:C3"/>
    <mergeCell ref="V8:W8"/>
    <mergeCell ref="G8:H8"/>
    <mergeCell ref="X8:Y8"/>
    <mergeCell ref="E8:F8"/>
    <mergeCell ref="A2:C2"/>
    <mergeCell ref="Q8:R8"/>
    <mergeCell ref="S8:T8"/>
    <mergeCell ref="X7:Y7"/>
    <mergeCell ref="A5:C5"/>
    <mergeCell ref="G7:H7"/>
    <mergeCell ref="S7:T7"/>
    <mergeCell ref="I7:J7"/>
    <mergeCell ref="A4:C4"/>
    <mergeCell ref="L8:M8"/>
    <mergeCell ref="N8:O8"/>
    <mergeCell ref="I8:J8"/>
    <mergeCell ref="V7:W7"/>
    <mergeCell ref="E7:F7"/>
    <mergeCell ref="A6:C6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ColWidth="9.140625" defaultRowHeight="15"/>
  <cols>
    <col width="3.7109375" customWidth="1" style="1" min="1" max="1"/>
    <col width="4.85546875" customWidth="1" style="2" min="2" max="2"/>
    <col width="9.42578125" customWidth="1" style="2" min="3" max="3"/>
    <col width="22" customWidth="1" style="1" min="4" max="5"/>
    <col width="16" bestFit="1" customWidth="1" style="1" min="6" max="6"/>
    <col width="22.42578125" customWidth="1" style="1" min="7" max="7"/>
    <col width="21" bestFit="1" customWidth="1" style="1" min="8" max="8"/>
    <col width="9.140625" customWidth="1" style="1" min="9" max="16384"/>
  </cols>
  <sheetData>
    <row r="1" ht="21.75" customHeight="1">
      <c r="A1" s="26" t="n"/>
      <c r="B1" s="53" t="n"/>
      <c r="C1" s="93" t="inlineStr">
        <is>
          <t>Section:</t>
        </is>
      </c>
      <c r="D1" s="55" t="inlineStr">
        <is>
          <t>4A</t>
        </is>
      </c>
      <c r="E1" s="58" t="inlineStr">
        <is>
          <t>Marks Recording Sheet</t>
        </is>
      </c>
      <c r="F1" s="32" t="n"/>
      <c r="G1" s="32" t="n"/>
      <c r="H1" s="26" t="n"/>
      <c r="I1" s="26" t="n"/>
    </row>
    <row r="2" ht="20.25" customHeight="1">
      <c r="A2" s="93" t="inlineStr">
        <is>
          <t>Teacher Name:</t>
        </is>
      </c>
      <c r="B2" s="94" t="n"/>
      <c r="C2" s="95" t="n"/>
      <c r="D2" s="55">
        <f>'G4- Attendance'!D2</f>
        <v/>
      </c>
      <c r="E2" s="35">
        <f>'G4- Attendance'!E2</f>
        <v/>
      </c>
      <c r="F2" s="26" t="n"/>
      <c r="G2" s="49" t="n"/>
      <c r="H2" s="26" t="n"/>
      <c r="I2" s="26" t="n"/>
    </row>
    <row r="3" ht="21" customHeight="1">
      <c r="A3" s="93" t="inlineStr">
        <is>
          <t>School ID:</t>
        </is>
      </c>
      <c r="B3" s="94" t="n"/>
      <c r="C3" s="95" t="n"/>
      <c r="D3" s="56">
        <f>'G4- Attendance'!D3</f>
        <v/>
      </c>
      <c r="E3" s="59">
        <f>'G4- Attendance'!E3</f>
        <v/>
      </c>
      <c r="F3" s="26" t="n"/>
      <c r="G3" s="26" t="n"/>
      <c r="H3" s="26" t="n"/>
      <c r="I3" s="26" t="n"/>
    </row>
    <row r="4" ht="23.25" customFormat="1" customHeight="1" s="23">
      <c r="A4" s="93" t="inlineStr">
        <is>
          <t>School Name:</t>
        </is>
      </c>
      <c r="B4" s="94" t="n"/>
      <c r="C4" s="95" t="n"/>
      <c r="D4" s="56">
        <f>'G4- Attendance'!D4</f>
        <v/>
      </c>
      <c r="E4" s="59">
        <f>'G4- Attendance'!E4</f>
        <v/>
      </c>
      <c r="F4" s="60" t="n"/>
      <c r="G4" s="60" t="n"/>
      <c r="H4" s="61" t="n"/>
      <c r="I4" s="61" t="n"/>
    </row>
    <row r="5" ht="18" customHeight="1">
      <c r="A5" s="93" t="inlineStr">
        <is>
          <t>Emirate/Area:</t>
        </is>
      </c>
      <c r="B5" s="94" t="n"/>
      <c r="C5" s="95" t="n"/>
      <c r="D5" s="56">
        <f>'G4- Attendance'!D5</f>
        <v/>
      </c>
      <c r="E5" s="62" t="n"/>
      <c r="F5" s="62" t="n"/>
      <c r="G5" s="62" t="n"/>
      <c r="H5" s="26" t="n"/>
      <c r="I5" s="26" t="n"/>
    </row>
    <row r="6" ht="41.25" customHeight="1">
      <c r="A6" s="93" t="inlineStr">
        <is>
          <t>Council:</t>
        </is>
      </c>
      <c r="B6" s="94" t="n"/>
      <c r="C6" s="95" t="n"/>
      <c r="D6" s="57">
        <f>'G4- Attendance'!D6</f>
        <v/>
      </c>
      <c r="E6" s="49" t="n"/>
      <c r="F6" s="63" t="n"/>
      <c r="G6" s="64" t="n"/>
      <c r="H6" s="64" t="n"/>
      <c r="I6" s="26" t="n"/>
    </row>
    <row r="7" ht="28.5" customHeight="1">
      <c r="A7" s="32" t="n"/>
      <c r="B7" s="27" t="n"/>
      <c r="C7" s="48" t="n"/>
      <c r="D7" s="49" t="n"/>
      <c r="E7" s="75" t="inlineStr">
        <is>
          <t>School-based Assessment (SB1)</t>
        </is>
      </c>
      <c r="F7" s="80" t="inlineStr">
        <is>
          <t>Attendance/
Effort</t>
        </is>
      </c>
      <c r="G7" s="76" t="inlineStr">
        <is>
          <t>School-based Total</t>
        </is>
      </c>
      <c r="H7" s="77" t="inlineStr">
        <is>
          <t>End of Term Total</t>
        </is>
      </c>
      <c r="I7" s="26" t="n"/>
      <c r="K7" s="3" t="n"/>
    </row>
    <row r="8" ht="15.75" customHeight="1">
      <c r="A8" s="26" t="n"/>
      <c r="B8" s="51" t="inlineStr">
        <is>
          <t>No</t>
        </is>
      </c>
      <c r="C8" s="51" t="inlineStr">
        <is>
          <t>Student #</t>
        </is>
      </c>
      <c r="D8" s="78" t="inlineStr">
        <is>
          <t>Student Name</t>
        </is>
      </c>
      <c r="E8" s="19" t="inlineStr">
        <is>
          <t>80 marks</t>
        </is>
      </c>
      <c r="F8" s="18" t="inlineStr">
        <is>
          <t>20 marks</t>
        </is>
      </c>
      <c r="G8" s="17" t="inlineStr">
        <is>
          <t>100 marks</t>
        </is>
      </c>
      <c r="H8" s="77" t="inlineStr">
        <is>
          <t>100 marks</t>
        </is>
      </c>
      <c r="I8" s="26" t="n"/>
    </row>
    <row r="9">
      <c r="A9" s="50" t="n"/>
      <c r="B9" s="22" t="n">
        <v>1</v>
      </c>
      <c r="C9" s="22" t="n">
        <v>1</v>
      </c>
      <c r="D9" s="25" t="inlineStr">
        <is>
          <t>بيان عبدالله صالح مبارك المصعبي</t>
        </is>
      </c>
      <c r="E9" s="6" t="n">
        <v>70</v>
      </c>
      <c r="F9" s="8" t="n">
        <v>18</v>
      </c>
      <c r="G9" s="16" t="n">
        <v>88</v>
      </c>
      <c r="H9" s="79" t="n">
        <v>99</v>
      </c>
      <c r="I9" s="26" t="n"/>
    </row>
    <row r="10">
      <c r="A10" s="50" t="n"/>
      <c r="B10" s="22" t="n">
        <v>2</v>
      </c>
      <c r="C10" s="22" t="n">
        <v>2</v>
      </c>
      <c r="D10" s="25" t="inlineStr">
        <is>
          <t>جورى حمد احمد عبدالله البلوشي</t>
        </is>
      </c>
      <c r="E10" s="6" t="n">
        <v>71</v>
      </c>
      <c r="F10" s="8" t="n">
        <v>18</v>
      </c>
      <c r="G10" s="16" t="n">
        <v>89</v>
      </c>
      <c r="H10" s="79" t="n">
        <v>77</v>
      </c>
      <c r="I10" s="26" t="n"/>
    </row>
    <row r="11">
      <c r="A11" s="50" t="n"/>
      <c r="B11" s="22" t="n">
        <v>3</v>
      </c>
      <c r="C11" s="22" t="n">
        <v>3</v>
      </c>
      <c r="D11" s="25" t="inlineStr">
        <is>
          <t>حامد فارس محمد سيف الكعبي</t>
        </is>
      </c>
      <c r="E11" s="6" t="n">
        <v>67</v>
      </c>
      <c r="F11" s="8" t="n">
        <v>20</v>
      </c>
      <c r="G11" s="16" t="n">
        <v>87</v>
      </c>
      <c r="H11" s="79" t="n">
        <v>55</v>
      </c>
      <c r="I11" s="26" t="n"/>
    </row>
    <row r="12">
      <c r="A12" s="50" t="n"/>
      <c r="B12" s="22" t="n">
        <v>4</v>
      </c>
      <c r="C12" s="22" t="n">
        <v>4</v>
      </c>
      <c r="D12" s="25" t="inlineStr">
        <is>
          <t>حلا حمد مبارك بن شيخه المرى</t>
        </is>
      </c>
      <c r="E12" s="6" t="n">
        <v>70</v>
      </c>
      <c r="F12" s="8" t="n">
        <v>18</v>
      </c>
      <c r="G12" s="16" t="n">
        <v>88</v>
      </c>
      <c r="H12" s="79" t="n">
        <v>87</v>
      </c>
      <c r="I12" s="26" t="n"/>
    </row>
    <row r="13">
      <c r="A13" s="50" t="n"/>
      <c r="B13" s="22" t="n">
        <v>5</v>
      </c>
      <c r="C13" s="22" t="n">
        <v>5</v>
      </c>
      <c r="D13" s="25" t="inlineStr">
        <is>
          <t>حمد عبدالله سعيد سبيت الكعبي</t>
        </is>
      </c>
      <c r="E13" s="6" t="n">
        <v>72</v>
      </c>
      <c r="F13" s="8" t="n">
        <v>20</v>
      </c>
      <c r="G13" s="16" t="n">
        <v>92</v>
      </c>
      <c r="H13" s="79" t="n">
        <v>80</v>
      </c>
      <c r="I13" s="26" t="n"/>
    </row>
    <row r="14">
      <c r="A14" s="50" t="n"/>
      <c r="B14" s="22" t="n">
        <v>6</v>
      </c>
      <c r="C14" s="22" t="n">
        <v>6</v>
      </c>
      <c r="D14" s="25" t="inlineStr">
        <is>
          <t>حمدان عبدالله محمد وهيب احمد</t>
        </is>
      </c>
      <c r="E14" s="6" t="n">
        <v>65</v>
      </c>
      <c r="F14" s="8" t="n">
        <v>19</v>
      </c>
      <c r="G14" s="16" t="n">
        <v>84</v>
      </c>
      <c r="H14" s="79" t="n">
        <v>80</v>
      </c>
      <c r="I14" s="26" t="n"/>
    </row>
    <row r="15">
      <c r="A15" s="50" t="n"/>
      <c r="B15" s="22" t="n">
        <v>7</v>
      </c>
      <c r="C15" s="22" t="n">
        <v>7</v>
      </c>
      <c r="D15" s="25" t="inlineStr">
        <is>
          <t>خالد مسفر ناصر سعود المنصوري</t>
        </is>
      </c>
      <c r="E15" s="6" t="n">
        <v>70</v>
      </c>
      <c r="F15" s="8" t="n">
        <v>18</v>
      </c>
      <c r="G15" s="16" t="n">
        <v>88</v>
      </c>
      <c r="H15" s="79" t="n">
        <v>97</v>
      </c>
      <c r="I15" s="26" t="n"/>
    </row>
    <row r="16">
      <c r="A16" s="50" t="n"/>
      <c r="B16" s="22" t="n">
        <v>8</v>
      </c>
      <c r="C16" s="22" t="n">
        <v>8</v>
      </c>
      <c r="D16" s="25" t="inlineStr">
        <is>
          <t>دلال عوض عايض معيض العتيبي</t>
        </is>
      </c>
      <c r="E16" s="6" t="n">
        <v>69</v>
      </c>
      <c r="F16" s="8" t="n">
        <v>18</v>
      </c>
      <c r="G16" s="16" t="n">
        <v>87</v>
      </c>
      <c r="H16" s="79" t="n">
        <v>71</v>
      </c>
      <c r="I16" s="26" t="n"/>
    </row>
    <row r="17">
      <c r="A17" s="50" t="n"/>
      <c r="B17" s="22" t="n">
        <v>9</v>
      </c>
      <c r="C17" s="22" t="n">
        <v>9</v>
      </c>
      <c r="D17" s="25" t="inlineStr">
        <is>
          <t>راشد عوض ضاحى مبارك الحسانى</t>
        </is>
      </c>
      <c r="E17" s="6" t="n">
        <v>67</v>
      </c>
      <c r="F17" s="8" t="n">
        <v>20</v>
      </c>
      <c r="G17" s="16" t="n">
        <v>87</v>
      </c>
      <c r="H17" s="79" t="n">
        <v>75</v>
      </c>
      <c r="I17" s="26" t="n"/>
    </row>
    <row r="18">
      <c r="A18" s="50" t="n"/>
      <c r="B18" s="22" t="n">
        <v>10</v>
      </c>
      <c r="C18" s="22" t="n">
        <v>10</v>
      </c>
      <c r="D18" s="25" t="inlineStr">
        <is>
          <t>روضة خميس عبدالله سالم الشامسي</t>
        </is>
      </c>
      <c r="E18" s="6" t="n">
        <v>68</v>
      </c>
      <c r="F18" s="8" t="n">
        <v>18</v>
      </c>
      <c r="G18" s="16" t="n">
        <v>86</v>
      </c>
      <c r="H18" s="79" t="n">
        <v>74</v>
      </c>
      <c r="I18" s="26" t="n"/>
    </row>
    <row r="19">
      <c r="A19" s="50" t="n"/>
      <c r="B19" s="22" t="n">
        <v>11</v>
      </c>
      <c r="C19" s="22" t="n">
        <v>11</v>
      </c>
      <c r="D19" s="25" t="inlineStr">
        <is>
          <t>شما عيظة مبارك عيظة العامري</t>
        </is>
      </c>
      <c r="E19" s="6" t="n">
        <v>68</v>
      </c>
      <c r="F19" s="8" t="n">
        <v>18</v>
      </c>
      <c r="G19" s="16" t="n">
        <v>86</v>
      </c>
      <c r="H19" s="79" t="n">
        <v>80</v>
      </c>
      <c r="I19" s="26" t="n"/>
    </row>
    <row r="20">
      <c r="A20" s="50" t="n"/>
      <c r="B20" s="22" t="n">
        <v>12</v>
      </c>
      <c r="C20" s="22" t="n">
        <v>12</v>
      </c>
      <c r="D20" s="25" t="inlineStr">
        <is>
          <t>شماء جابر على محمد</t>
        </is>
      </c>
      <c r="E20" s="6" t="n">
        <v>70</v>
      </c>
      <c r="F20" s="8" t="n">
        <v>19</v>
      </c>
      <c r="G20" s="16" t="n">
        <v>89</v>
      </c>
      <c r="H20" s="79" t="n">
        <v>87</v>
      </c>
      <c r="I20" s="26" t="n"/>
    </row>
    <row r="21">
      <c r="A21" s="50" t="n"/>
      <c r="B21" s="22" t="n">
        <v>13</v>
      </c>
      <c r="C21" s="22" t="n">
        <v>13</v>
      </c>
      <c r="D21" s="25" t="inlineStr">
        <is>
          <t>شيخه بنت سالم بن محمد بن على المقباليه</t>
        </is>
      </c>
      <c r="E21" s="6" t="n">
        <v>70</v>
      </c>
      <c r="F21" s="8" t="n">
        <v>18</v>
      </c>
      <c r="G21" s="16" t="n">
        <v>88</v>
      </c>
      <c r="H21" s="79" t="n">
        <v>80</v>
      </c>
      <c r="I21" s="26" t="n"/>
    </row>
    <row r="22">
      <c r="A22" s="50" t="n"/>
      <c r="B22" s="22" t="n">
        <v>14</v>
      </c>
      <c r="C22" s="22" t="n">
        <v>14</v>
      </c>
      <c r="D22" s="25" t="inlineStr">
        <is>
          <t>ظبيه سعيد خليفه محمد الرواحيه</t>
        </is>
      </c>
      <c r="E22" s="6" t="n">
        <v>71</v>
      </c>
      <c r="F22" s="8" t="n">
        <v>19</v>
      </c>
      <c r="G22" s="16" t="n">
        <v>90</v>
      </c>
      <c r="H22" s="79" t="n">
        <v>92</v>
      </c>
      <c r="I22" s="26" t="n"/>
    </row>
    <row r="23">
      <c r="A23" s="50" t="n"/>
      <c r="B23" s="22" t="n">
        <v>15</v>
      </c>
      <c r="C23" s="22" t="n">
        <v>15</v>
      </c>
      <c r="D23" s="25" t="inlineStr">
        <is>
          <t>عبدالله سالم عبدالله سويدان المقبالى</t>
        </is>
      </c>
      <c r="E23" s="6" t="n">
        <v>69</v>
      </c>
      <c r="F23" s="8" t="n">
        <v>19</v>
      </c>
      <c r="G23" s="16" t="n">
        <v>88</v>
      </c>
      <c r="H23" s="79" t="n">
        <v>75</v>
      </c>
      <c r="I23" s="26" t="n"/>
    </row>
    <row r="24">
      <c r="A24" s="50" t="n"/>
      <c r="B24" s="22" t="n">
        <v>16</v>
      </c>
      <c r="C24" s="22" t="n">
        <v>16</v>
      </c>
      <c r="D24" s="25" t="inlineStr">
        <is>
          <t>عبيد علي سعيد سالم الشامسي</t>
        </is>
      </c>
      <c r="E24" s="6" t="n">
        <v>66</v>
      </c>
      <c r="F24" s="8" t="n">
        <v>18</v>
      </c>
      <c r="G24" s="16" t="n">
        <v>84</v>
      </c>
      <c r="H24" s="79" t="n">
        <v>77</v>
      </c>
      <c r="I24" s="26" t="n"/>
    </row>
    <row r="25">
      <c r="A25" s="50" t="n"/>
      <c r="B25" s="22" t="n">
        <v>17</v>
      </c>
      <c r="C25" s="22" t="n">
        <v>17</v>
      </c>
      <c r="D25" s="25" t="inlineStr">
        <is>
          <t>عمر يس سليم محمد البلوشي</t>
        </is>
      </c>
      <c r="E25" s="6" t="n">
        <v>69</v>
      </c>
      <c r="F25" s="8" t="n">
        <v>20</v>
      </c>
      <c r="G25" s="16" t="n">
        <v>89</v>
      </c>
      <c r="H25" s="79" t="n">
        <v>75</v>
      </c>
      <c r="I25" s="26" t="n"/>
    </row>
    <row r="26">
      <c r="A26" s="50" t="n"/>
      <c r="B26" s="22" t="n">
        <v>18</v>
      </c>
      <c r="C26" s="22" t="n">
        <v>18</v>
      </c>
      <c r="D26" s="25" t="inlineStr">
        <is>
          <t>لطيفه مبارك عتيق مبارك البريكي</t>
        </is>
      </c>
      <c r="E26" s="6" t="n">
        <v>69</v>
      </c>
      <c r="F26" s="8" t="n">
        <v>19</v>
      </c>
      <c r="G26" s="16" t="n">
        <v>88</v>
      </c>
      <c r="H26" s="79" t="n">
        <v>70</v>
      </c>
      <c r="I26" s="26" t="n"/>
    </row>
    <row r="27">
      <c r="A27" s="50" t="n"/>
      <c r="B27" s="22" t="n">
        <v>19</v>
      </c>
      <c r="C27" s="22" t="n">
        <v>19</v>
      </c>
      <c r="D27" s="25" t="inlineStr">
        <is>
          <t>مبارك بن محمد بن جمعه بن مبارك الشرجى</t>
        </is>
      </c>
      <c r="E27" s="6" t="n">
        <v>67</v>
      </c>
      <c r="F27" s="8" t="n">
        <v>19</v>
      </c>
      <c r="G27" s="16" t="n">
        <v>86</v>
      </c>
      <c r="H27" s="79" t="n">
        <v>88</v>
      </c>
      <c r="I27" s="26" t="n"/>
    </row>
    <row r="28">
      <c r="A28" s="50" t="n"/>
      <c r="B28" s="22" t="n">
        <v>20</v>
      </c>
      <c r="C28" s="22" t="n">
        <v>20</v>
      </c>
      <c r="D28" s="25" t="inlineStr">
        <is>
          <t>محمد خالد سعيد محمد المهرى</t>
        </is>
      </c>
      <c r="E28" s="6" t="n">
        <v>71</v>
      </c>
      <c r="F28" s="8" t="n">
        <v>19</v>
      </c>
      <c r="G28" s="16" t="n">
        <v>90</v>
      </c>
      <c r="H28" s="79" t="n">
        <v>98</v>
      </c>
      <c r="I28" s="26" t="n"/>
    </row>
    <row r="29">
      <c r="A29" s="50" t="n"/>
      <c r="B29" s="22" t="n">
        <v>21</v>
      </c>
      <c r="C29" s="22" t="n">
        <v>21</v>
      </c>
      <c r="D29" s="25" t="inlineStr">
        <is>
          <t>محمد عبدالله محمد سيف الكعبي</t>
        </is>
      </c>
      <c r="E29" s="6" t="n">
        <v>68</v>
      </c>
      <c r="F29" s="8" t="n">
        <v>20</v>
      </c>
      <c r="G29" s="16" t="n">
        <v>88</v>
      </c>
      <c r="H29" s="79" t="n">
        <v>83</v>
      </c>
      <c r="I29" s="26" t="n"/>
    </row>
    <row r="30">
      <c r="A30" s="50" t="n"/>
      <c r="B30" s="22" t="n">
        <v>22</v>
      </c>
      <c r="C30" s="22" t="n">
        <v>22</v>
      </c>
      <c r="D30" s="25" t="inlineStr">
        <is>
          <t>مريم حمدان محمد صالح الكربي</t>
        </is>
      </c>
      <c r="E30" s="6" t="n">
        <v>68</v>
      </c>
      <c r="F30" s="8" t="n">
        <v>18</v>
      </c>
      <c r="G30" s="16" t="n">
        <v>86</v>
      </c>
      <c r="H30" s="79" t="n">
        <v>94</v>
      </c>
      <c r="I30" s="26" t="n"/>
    </row>
    <row r="31">
      <c r="A31" s="50" t="n"/>
      <c r="B31" s="22" t="n">
        <v>23</v>
      </c>
      <c r="C31" s="22" t="n">
        <v>23</v>
      </c>
      <c r="D31" s="25" t="inlineStr">
        <is>
          <t>مريم عقيل عمر سعيد البريكي</t>
        </is>
      </c>
      <c r="E31" s="6" t="n">
        <v>74</v>
      </c>
      <c r="F31" s="8" t="n">
        <v>20</v>
      </c>
      <c r="G31" s="16" t="n">
        <v>94</v>
      </c>
      <c r="H31" s="79" t="n">
        <v>72</v>
      </c>
      <c r="I31" s="26" t="n"/>
    </row>
    <row r="32">
      <c r="A32" s="50" t="n"/>
      <c r="B32" s="22" t="n">
        <v>24</v>
      </c>
      <c r="C32" s="22" t="n">
        <v>24</v>
      </c>
      <c r="D32" s="25" t="inlineStr">
        <is>
          <t>منصور سعيد خليفه حمدون الشامسي</t>
        </is>
      </c>
      <c r="E32" s="6" t="n">
        <v>74</v>
      </c>
      <c r="F32" s="8" t="n">
        <v>20</v>
      </c>
      <c r="G32" s="16" t="n">
        <v>94</v>
      </c>
      <c r="H32" s="79" t="n">
        <v>98</v>
      </c>
      <c r="I32" s="26" t="n"/>
    </row>
    <row r="33">
      <c r="A33" s="50" t="n"/>
      <c r="B33" s="22" t="n">
        <v>25</v>
      </c>
      <c r="C33" s="22" t="n">
        <v>25</v>
      </c>
      <c r="D33" s="25" t="inlineStr">
        <is>
          <t>منصور غيث مطر خايف الظاهري</t>
        </is>
      </c>
      <c r="E33" s="6" t="n">
        <v>72</v>
      </c>
      <c r="F33" s="8" t="n">
        <v>20</v>
      </c>
      <c r="G33" s="16" t="n">
        <v>92</v>
      </c>
      <c r="H33" s="79" t="n">
        <v>89</v>
      </c>
      <c r="I33" s="26" t="n"/>
    </row>
    <row r="34">
      <c r="A34" s="50" t="n"/>
      <c r="B34" s="22" t="n">
        <v>26</v>
      </c>
      <c r="C34" s="22" t="n">
        <v>26</v>
      </c>
      <c r="D34" s="25" t="inlineStr">
        <is>
          <t>مها اسحاق احمد عبدالله البلوشي</t>
        </is>
      </c>
      <c r="E34" s="6" t="n">
        <v>69</v>
      </c>
      <c r="F34" s="8" t="n">
        <v>20</v>
      </c>
      <c r="G34" s="16" t="n">
        <v>89</v>
      </c>
      <c r="H34" s="79" t="n">
        <v>82</v>
      </c>
      <c r="I34" s="26" t="n"/>
    </row>
    <row r="35">
      <c r="A35" s="50" t="n"/>
      <c r="B35" s="22" t="n">
        <v>27</v>
      </c>
      <c r="C35" s="22" t="n">
        <v>27</v>
      </c>
      <c r="D35" s="25" t="inlineStr">
        <is>
          <t>مهره جمعه سالم سعيد الكعبي</t>
        </is>
      </c>
      <c r="E35" s="6" t="n">
        <v>69</v>
      </c>
      <c r="F35" s="8" t="n">
        <v>19</v>
      </c>
      <c r="G35" s="16" t="n">
        <v>88</v>
      </c>
      <c r="H35" s="79" t="n">
        <v>72</v>
      </c>
      <c r="I35" s="26" t="n"/>
    </row>
    <row r="36">
      <c r="A36" s="50" t="n"/>
      <c r="B36" s="22" t="n">
        <v>28</v>
      </c>
      <c r="C36" s="22" t="n">
        <v>28</v>
      </c>
      <c r="D36" s="25" t="inlineStr">
        <is>
          <t>مهره سعيد عبيد محمد الكعبي</t>
        </is>
      </c>
      <c r="E36" s="6" t="n">
        <v>73</v>
      </c>
      <c r="F36" s="8" t="n">
        <v>19</v>
      </c>
      <c r="G36" s="16" t="n">
        <v>92</v>
      </c>
      <c r="H36" s="79" t="n">
        <v>70</v>
      </c>
      <c r="I36" s="26" t="n"/>
    </row>
    <row r="37">
      <c r="A37" s="50" t="n"/>
      <c r="B37" s="22" t="n">
        <v>29</v>
      </c>
      <c r="C37" s="22" t="n">
        <v>29</v>
      </c>
      <c r="D37" s="25" t="inlineStr">
        <is>
          <t>ميره سعيد عبيد محمد الكعبي</t>
        </is>
      </c>
      <c r="E37" s="6" t="n">
        <v>68</v>
      </c>
      <c r="F37" s="8" t="n">
        <v>18</v>
      </c>
      <c r="G37" s="16" t="n">
        <v>86</v>
      </c>
      <c r="H37" s="79" t="n">
        <v>80</v>
      </c>
      <c r="I37" s="26" t="n"/>
    </row>
    <row r="38">
      <c r="A38" s="50" t="n"/>
      <c r="B38" s="22" t="n"/>
      <c r="C38" s="22" t="n"/>
      <c r="D38" s="25" t="n"/>
      <c r="E38" s="6" t="n"/>
      <c r="F38" s="8" t="n"/>
      <c r="G38" s="16" t="n"/>
      <c r="H38" s="79" t="n"/>
      <c r="I38" s="26" t="n"/>
    </row>
    <row r="39">
      <c r="A39" s="50" t="n"/>
      <c r="B39" s="22" t="n"/>
      <c r="C39" s="22" t="n"/>
      <c r="D39" s="25" t="n"/>
      <c r="E39" s="6" t="n"/>
      <c r="F39" s="8" t="n"/>
      <c r="G39" s="16" t="n"/>
      <c r="H39" s="79" t="n"/>
      <c r="I39" s="26" t="n"/>
    </row>
    <row r="40">
      <c r="A40" s="50" t="n"/>
      <c r="B40" s="22" t="n"/>
      <c r="C40" s="22" t="n"/>
      <c r="D40" s="25" t="n"/>
      <c r="E40" s="6" t="n"/>
      <c r="F40" s="8" t="n"/>
      <c r="G40" s="16" t="n"/>
      <c r="H40" s="79" t="n"/>
      <c r="I40" s="26" t="n"/>
    </row>
    <row r="41">
      <c r="A41" s="50" t="n"/>
      <c r="B41" s="22" t="n"/>
      <c r="C41" s="22" t="n"/>
      <c r="D41" s="25" t="n"/>
      <c r="E41" s="6" t="n"/>
      <c r="F41" s="8" t="n"/>
      <c r="G41" s="16" t="n"/>
      <c r="H41" s="79" t="n"/>
      <c r="I41" s="26" t="n"/>
    </row>
    <row r="42">
      <c r="A42" s="50" t="n"/>
      <c r="B42" s="22" t="n"/>
      <c r="C42" s="22" t="n"/>
      <c r="D42" s="25" t="n"/>
      <c r="E42" s="6" t="n"/>
      <c r="F42" s="8" t="n"/>
      <c r="G42" s="16" t="n"/>
      <c r="H42" s="79" t="n"/>
      <c r="I42" s="26" t="n"/>
    </row>
    <row r="43">
      <c r="A43" s="50" t="n"/>
      <c r="B43" s="22" t="n"/>
      <c r="C43" s="22" t="n"/>
      <c r="D43" s="25" t="n"/>
      <c r="E43" s="6" t="n"/>
      <c r="F43" s="8" t="n"/>
      <c r="G43" s="16" t="n"/>
      <c r="H43" s="79" t="n"/>
      <c r="I43" s="26" t="n"/>
    </row>
    <row r="44">
      <c r="A44" s="50" t="n"/>
      <c r="B44" s="22" t="n"/>
      <c r="C44" s="22" t="n"/>
      <c r="D44" s="25" t="n"/>
      <c r="E44" s="6" t="n"/>
      <c r="F44" s="8" t="n"/>
      <c r="G44" s="16" t="n"/>
      <c r="H44" s="79" t="n"/>
      <c r="I44" s="26" t="n"/>
    </row>
    <row r="45">
      <c r="A45" s="50" t="n"/>
      <c r="B45" s="22" t="n"/>
      <c r="C45" s="22" t="n"/>
      <c r="D45" s="25" t="n"/>
      <c r="E45" s="6" t="n"/>
      <c r="F45" s="8" t="n"/>
      <c r="G45" s="16" t="n"/>
      <c r="H45" s="79" t="n"/>
      <c r="I45" s="26" t="n"/>
    </row>
    <row r="46">
      <c r="A46" s="50" t="n"/>
      <c r="B46" s="22" t="n"/>
      <c r="C46" s="22" t="n"/>
      <c r="D46" s="25" t="n"/>
      <c r="E46" s="6" t="n"/>
      <c r="F46" s="8" t="n"/>
      <c r="G46" s="16" t="n"/>
      <c r="H46" s="79" t="n"/>
      <c r="I46" s="26" t="n"/>
    </row>
    <row r="47">
      <c r="A47" s="50" t="n"/>
      <c r="B47" s="22" t="n"/>
      <c r="C47" s="22" t="n"/>
      <c r="D47" s="25" t="n"/>
      <c r="E47" s="6" t="n"/>
      <c r="F47" s="8" t="n"/>
      <c r="G47" s="16" t="n"/>
      <c r="H47" s="79" t="n"/>
      <c r="I47" s="26" t="n"/>
    </row>
    <row r="48">
      <c r="A48" s="50" t="n"/>
      <c r="B48" s="22" t="n"/>
      <c r="C48" s="22" t="n"/>
      <c r="D48" s="25" t="n"/>
      <c r="E48" s="6" t="n"/>
      <c r="F48" s="8" t="n"/>
      <c r="G48" s="16" t="n"/>
      <c r="H48" s="79" t="n"/>
      <c r="I48" s="26" t="n"/>
    </row>
    <row r="49">
      <c r="A49" s="50" t="n"/>
      <c r="B49" s="22" t="n"/>
      <c r="C49" s="22" t="n"/>
      <c r="D49" s="25" t="n"/>
      <c r="E49" s="6" t="n"/>
      <c r="F49" s="8" t="n"/>
      <c r="G49" s="16" t="n"/>
      <c r="H49" s="79" t="n"/>
      <c r="I49" s="26" t="n"/>
    </row>
    <row r="50">
      <c r="A50" s="50" t="n"/>
      <c r="B50" s="22" t="n"/>
      <c r="C50" s="22" t="n"/>
      <c r="D50" s="25" t="n"/>
      <c r="E50" s="6" t="n"/>
      <c r="F50" s="8" t="n"/>
      <c r="G50" s="16" t="n"/>
      <c r="H50" s="79" t="n"/>
      <c r="I50" s="26" t="n"/>
    </row>
    <row r="51">
      <c r="A51" s="50" t="n"/>
      <c r="B51" s="22" t="n"/>
      <c r="C51" s="22" t="n"/>
      <c r="D51" s="25" t="n"/>
      <c r="E51" s="6" t="n"/>
      <c r="F51" s="8" t="n"/>
      <c r="G51" s="16" t="n"/>
      <c r="H51" s="79" t="n"/>
      <c r="I51" s="26" t="n"/>
    </row>
    <row r="52">
      <c r="A52" s="50" t="n"/>
      <c r="B52" s="22" t="n"/>
      <c r="C52" s="22" t="n"/>
      <c r="D52" s="25" t="n"/>
      <c r="E52" s="6" t="n"/>
      <c r="F52" s="8" t="n"/>
      <c r="G52" s="16" t="n"/>
      <c r="H52" s="79" t="n"/>
      <c r="I52" s="26" t="n"/>
    </row>
    <row r="53">
      <c r="A53" s="50" t="n"/>
      <c r="B53" s="22" t="n"/>
      <c r="C53" s="22" t="n"/>
      <c r="D53" s="25" t="n"/>
      <c r="E53" s="6" t="n"/>
      <c r="F53" s="8" t="n"/>
      <c r="G53" s="16" t="n"/>
      <c r="H53" s="79" t="n"/>
      <c r="I53" s="26" t="n"/>
    </row>
    <row r="54">
      <c r="A54" s="50" t="n"/>
      <c r="B54" s="22" t="n"/>
      <c r="C54" s="22" t="n"/>
      <c r="D54" s="25" t="n"/>
      <c r="E54" s="6" t="n"/>
      <c r="F54" s="8" t="n"/>
      <c r="G54" s="16" t="n"/>
      <c r="H54" s="79" t="n"/>
      <c r="I54" s="26" t="n"/>
    </row>
    <row r="55">
      <c r="A55" s="50" t="n"/>
      <c r="B55" s="22" t="n"/>
      <c r="C55" s="22" t="n"/>
      <c r="D55" s="25" t="n"/>
      <c r="E55" s="6" t="n"/>
      <c r="F55" s="8" t="n"/>
      <c r="G55" s="16" t="n"/>
      <c r="H55" s="79" t="n"/>
      <c r="I55" s="26" t="n"/>
    </row>
    <row r="56">
      <c r="A56" s="50" t="n"/>
      <c r="B56" s="22" t="n"/>
      <c r="C56" s="22" t="n"/>
      <c r="D56" s="25" t="n"/>
      <c r="E56" s="6" t="n"/>
      <c r="F56" s="8" t="n"/>
      <c r="G56" s="16" t="n"/>
      <c r="H56" s="79" t="n"/>
      <c r="I56" s="26" t="n"/>
    </row>
    <row r="57">
      <c r="A57" s="50" t="n"/>
      <c r="B57" s="22" t="n"/>
      <c r="C57" s="22" t="n"/>
      <c r="D57" s="25" t="n"/>
      <c r="E57" s="6" t="n"/>
      <c r="F57" s="8" t="n"/>
      <c r="G57" s="16" t="n"/>
      <c r="H57" s="79" t="n"/>
      <c r="I57" s="26" t="n"/>
    </row>
    <row r="58">
      <c r="A58" s="50" t="n"/>
      <c r="B58" s="22" t="n"/>
      <c r="C58" s="22" t="n"/>
      <c r="D58" s="25" t="n"/>
      <c r="E58" s="6" t="n"/>
      <c r="F58" s="8" t="n"/>
      <c r="G58" s="16" t="n"/>
      <c r="H58" s="79" t="n"/>
      <c r="I58" s="26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26" t="n"/>
    </row>
  </sheetData>
  <mergeCells count="5">
    <mergeCell ref="A5:C5"/>
    <mergeCell ref="A6:C6"/>
    <mergeCell ref="A3:C3"/>
    <mergeCell ref="A4:C4"/>
    <mergeCell ref="A2:C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00B050"/>
    <outlinePr summaryBelow="1" summaryRight="1"/>
    <pageSetUpPr/>
  </sheetPr>
  <dimension ref="A1:AI59"/>
  <sheetViews>
    <sheetView workbookViewId="0">
      <selection activeCell="A1" sqref="A1"/>
    </sheetView>
  </sheetViews>
  <sheetFormatPr baseColWidth="8" defaultColWidth="9.140625" defaultRowHeight="15"/>
  <cols>
    <col width="3.140625" customWidth="1" style="1" min="1" max="1"/>
    <col width="4.28515625" customWidth="1" style="2" min="2" max="2"/>
    <col width="12.85546875" bestFit="1" customWidth="1" style="2" min="3" max="3"/>
    <col width="38.5703125" customWidth="1" style="1" min="4" max="4"/>
    <col width="5.7109375" customWidth="1" style="1" min="5" max="10"/>
    <col width="7.85546875" bestFit="1" customWidth="1" style="1" min="11" max="11"/>
    <col width="5.7109375" customWidth="1" style="1" min="12" max="15"/>
    <col width="7.140625" customWidth="1" style="1" min="16" max="16"/>
    <col width="5.7109375" customWidth="1" style="1" min="17" max="20"/>
    <col width="7.85546875" bestFit="1" customWidth="1" style="1" min="21" max="21"/>
    <col width="5.7109375" customWidth="1" style="1" min="22" max="25"/>
    <col width="7.85546875" bestFit="1" customWidth="1" style="1" min="26" max="26"/>
    <col width="13" customWidth="1" style="1" min="27" max="27"/>
    <col width="12.28515625" customWidth="1" style="1" min="28" max="28"/>
    <col width="11" customWidth="1" style="1" min="29" max="29"/>
    <col width="12.28515625" customWidth="1" style="1" min="30" max="30"/>
    <col width="8" customWidth="1" style="1" min="31" max="31"/>
    <col width="14.7109375" customWidth="1" style="1" min="32" max="32"/>
    <col width="10.5703125" customWidth="1" style="1" min="33" max="33"/>
    <col width="11.28515625" customWidth="1" style="1" min="34" max="34"/>
    <col width="23.5703125" customWidth="1" style="1" min="35" max="35"/>
    <col width="9.140625" customWidth="1" style="1" min="36" max="16384"/>
  </cols>
  <sheetData>
    <row r="1" ht="25.5" customHeight="1" thickBot="1">
      <c r="A1" s="26" t="n"/>
      <c r="B1" s="27" t="n"/>
      <c r="C1" s="28" t="inlineStr">
        <is>
          <t>Section:</t>
        </is>
      </c>
      <c r="D1" s="29" t="inlineStr">
        <is>
          <t>4B</t>
        </is>
      </c>
      <c r="E1" s="30" t="inlineStr">
        <is>
          <t>Attendance &amp; Effort Sheet</t>
        </is>
      </c>
      <c r="F1" s="26" t="n"/>
      <c r="G1" s="26" t="n"/>
      <c r="H1" s="26" t="n"/>
      <c r="I1" s="31" t="n"/>
      <c r="J1" s="31" t="n"/>
      <c r="K1" s="31" t="n"/>
      <c r="L1" s="31" t="n"/>
      <c r="M1" s="31" t="n"/>
      <c r="N1" s="32" t="n"/>
      <c r="O1" s="32" t="n"/>
      <c r="P1" s="65" t="inlineStr">
        <is>
          <t>P=Present</t>
        </is>
      </c>
      <c r="Q1" s="66" t="n"/>
      <c r="R1" s="66" t="n"/>
      <c r="S1" s="26" t="n"/>
      <c r="T1" s="26" t="n"/>
      <c r="U1" s="32" t="n"/>
      <c r="V1" s="32" t="n"/>
      <c r="W1" s="32" t="n"/>
      <c r="X1" s="32" t="n"/>
      <c r="Y1" s="32" t="n"/>
      <c r="Z1" s="32" t="n"/>
      <c r="AA1" s="33" t="n"/>
      <c r="AB1" s="26" t="n"/>
      <c r="AC1" s="26" t="n"/>
      <c r="AD1" s="26" t="n"/>
      <c r="AE1" s="26" t="n"/>
      <c r="AF1" s="33" t="n"/>
      <c r="AG1" s="26" t="n"/>
      <c r="AH1" s="26" t="n"/>
      <c r="AI1" s="26" t="n"/>
    </row>
    <row r="2" ht="24" customHeight="1">
      <c r="A2" s="89" t="inlineStr">
        <is>
          <t>Teacher Name:</t>
        </is>
      </c>
      <c r="B2" s="94" t="n"/>
      <c r="C2" s="95" t="n"/>
      <c r="D2" s="34" t="n"/>
      <c r="E2" s="35" t="inlineStr">
        <is>
          <t xml:space="preserve">Computing, Creative Design and Innovation </t>
        </is>
      </c>
      <c r="F2" s="26" t="n"/>
      <c r="G2" s="26" t="n"/>
      <c r="H2" s="26" t="n"/>
      <c r="I2" s="31" t="n"/>
      <c r="J2" s="31" t="n"/>
      <c r="K2" s="31" t="n"/>
      <c r="L2" s="31" t="n"/>
      <c r="M2" s="31" t="n"/>
      <c r="N2" s="32" t="n"/>
      <c r="O2" s="32" t="n"/>
      <c r="P2" s="67" t="inlineStr">
        <is>
          <t>A=Absent</t>
        </is>
      </c>
      <c r="Q2" s="68" t="n"/>
      <c r="R2" s="68" t="n"/>
      <c r="S2" s="26" t="n"/>
      <c r="T2" s="26" t="n"/>
      <c r="U2" s="36" t="n"/>
      <c r="V2" s="36" t="n"/>
      <c r="W2" s="36" t="n"/>
      <c r="X2" s="36" t="n"/>
      <c r="Y2" s="36" t="n"/>
      <c r="Z2" s="36" t="n"/>
      <c r="AA2" s="37" t="n"/>
      <c r="AB2" s="37" t="n"/>
      <c r="AC2" s="37" t="n"/>
      <c r="AD2" s="37" t="n"/>
      <c r="AE2" s="37" t="n"/>
      <c r="AF2" s="26" t="n"/>
      <c r="AG2" s="26" t="n"/>
      <c r="AH2" s="26" t="n"/>
      <c r="AI2" s="26" t="n"/>
    </row>
    <row r="3" ht="29.25" customHeight="1">
      <c r="A3" s="89" t="inlineStr">
        <is>
          <t>School ID:</t>
        </is>
      </c>
      <c r="B3" s="94" t="n"/>
      <c r="C3" s="95" t="n"/>
      <c r="D3" s="34" t="n"/>
      <c r="E3" s="38" t="inlineStr">
        <is>
          <t>Grade 4</t>
        </is>
      </c>
      <c r="F3" s="26" t="n"/>
      <c r="G3" s="26" t="n"/>
      <c r="H3" s="26" t="n"/>
      <c r="I3" s="26" t="n"/>
      <c r="J3" s="39" t="n"/>
      <c r="K3" s="31" t="n"/>
      <c r="L3" s="31" t="n"/>
      <c r="M3" s="31" t="n"/>
      <c r="N3" s="36" t="n"/>
      <c r="O3" s="36" t="n"/>
      <c r="P3" s="69" t="inlineStr">
        <is>
          <t>L=Late</t>
        </is>
      </c>
      <c r="Q3" s="70" t="n"/>
      <c r="R3" s="70" t="n"/>
      <c r="S3" s="26" t="n"/>
      <c r="T3" s="26" t="n"/>
      <c r="U3" s="36" t="n"/>
      <c r="V3" s="36" t="n"/>
      <c r="W3" s="36" t="n"/>
      <c r="X3" s="36" t="n"/>
      <c r="Y3" s="36" t="n"/>
      <c r="Z3" s="36" t="n"/>
      <c r="AA3" s="37" t="n"/>
      <c r="AB3" s="37" t="n"/>
      <c r="AC3" s="37" t="n"/>
      <c r="AD3" s="37" t="n"/>
      <c r="AE3" s="37" t="n"/>
      <c r="AF3" s="26" t="n"/>
      <c r="AG3" s="26" t="n"/>
      <c r="AH3" s="26" t="n"/>
      <c r="AI3" s="26" t="n"/>
    </row>
    <row r="4" ht="24.75" customHeight="1" thickBot="1">
      <c r="A4" s="89" t="inlineStr">
        <is>
          <t>School Name:</t>
        </is>
      </c>
      <c r="B4" s="94" t="n"/>
      <c r="C4" s="95" t="n"/>
      <c r="D4" s="34" t="n"/>
      <c r="E4" s="40" t="inlineStr">
        <is>
          <t>Term 2 - 2024/2025</t>
        </is>
      </c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41" t="n"/>
      <c r="AB4" s="41" t="n"/>
      <c r="AC4" s="41" t="n"/>
      <c r="AD4" s="41" t="n"/>
      <c r="AE4" s="41" t="n"/>
      <c r="AF4" s="41" t="n"/>
      <c r="AG4" s="41" t="n"/>
      <c r="AH4" s="26" t="n"/>
      <c r="AI4" s="26" t="n"/>
    </row>
    <row r="5" ht="23.25" customHeight="1">
      <c r="A5" s="89" t="inlineStr">
        <is>
          <t>Emirate/Area:</t>
        </is>
      </c>
      <c r="B5" s="94" t="n"/>
      <c r="C5" s="95" t="n"/>
      <c r="D5" s="34" t="n"/>
      <c r="E5" s="42" t="inlineStr">
        <is>
          <t>1. Student 'attendance' and 'effort' is part of the total of the School-Based mark. Please ensure that you record all attendance here.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5" t="n"/>
      <c r="AC5" s="45" t="n"/>
      <c r="AD5" s="45" t="n"/>
      <c r="AE5" s="45" t="n"/>
      <c r="AF5" s="45" t="n"/>
      <c r="AG5" s="45" t="n"/>
      <c r="AH5" s="45" t="n"/>
      <c r="AI5" s="45" t="n"/>
    </row>
    <row r="6" ht="24.75" customHeight="1">
      <c r="A6" s="89" t="inlineStr">
        <is>
          <t>Council:</t>
        </is>
      </c>
      <c r="B6" s="94" t="n"/>
      <c r="C6" s="95" t="n"/>
      <c r="D6" s="34" t="n"/>
      <c r="E6" s="46" t="inlineStr">
        <is>
          <t>2. Consult your principal for late/absent policy</t>
        </is>
      </c>
      <c r="F6" s="47" t="n"/>
      <c r="G6" s="47" t="n"/>
      <c r="H6" s="47" t="n"/>
      <c r="I6" s="47" t="n"/>
      <c r="J6" s="47" t="n"/>
      <c r="K6" s="47" t="n"/>
      <c r="L6" s="47" t="n"/>
      <c r="M6" s="47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26" t="n"/>
      <c r="AC6" s="26" t="n"/>
      <c r="AD6" s="26" t="n"/>
      <c r="AE6" s="26" t="n"/>
      <c r="AF6" s="26" t="n"/>
      <c r="AG6" s="26" t="n"/>
      <c r="AH6" s="26" t="n"/>
      <c r="AI6" s="26" t="n"/>
    </row>
    <row r="7" ht="18.75" customHeight="1">
      <c r="A7" s="32" t="n"/>
      <c r="B7" s="27" t="n"/>
      <c r="C7" s="48" t="n"/>
      <c r="D7" s="49" t="n"/>
      <c r="E7" s="82" t="inlineStr">
        <is>
          <t>Week 1</t>
        </is>
      </c>
      <c r="F7" s="96" t="n"/>
      <c r="G7" s="81" t="inlineStr">
        <is>
          <t>Week 2</t>
        </is>
      </c>
      <c r="H7" s="96" t="n"/>
      <c r="I7" s="82" t="inlineStr">
        <is>
          <t>Week 3</t>
        </is>
      </c>
      <c r="J7" s="96" t="n"/>
      <c r="K7" s="20" t="inlineStr">
        <is>
          <t>Effort</t>
        </is>
      </c>
      <c r="L7" s="81" t="inlineStr">
        <is>
          <t>Week 4</t>
        </is>
      </c>
      <c r="M7" s="96" t="n"/>
      <c r="N7" s="82" t="inlineStr">
        <is>
          <t>Week 5</t>
        </is>
      </c>
      <c r="O7" s="96" t="n"/>
      <c r="P7" s="20" t="inlineStr">
        <is>
          <t>Effort</t>
        </is>
      </c>
      <c r="Q7" s="81" t="inlineStr">
        <is>
          <t>Week 6</t>
        </is>
      </c>
      <c r="R7" s="96" t="n"/>
      <c r="S7" s="82" t="inlineStr">
        <is>
          <t>Week 7</t>
        </is>
      </c>
      <c r="T7" s="96" t="n"/>
      <c r="U7" s="20" t="inlineStr">
        <is>
          <t>Effort</t>
        </is>
      </c>
      <c r="V7" s="81" t="inlineStr">
        <is>
          <t>Week 8</t>
        </is>
      </c>
      <c r="W7" s="96" t="n"/>
      <c r="X7" s="82" t="inlineStr">
        <is>
          <t>Week 9</t>
        </is>
      </c>
      <c r="Y7" s="96" t="n"/>
      <c r="Z7" s="20" t="inlineStr">
        <is>
          <t>Effort</t>
        </is>
      </c>
      <c r="AA7" s="20" t="inlineStr">
        <is>
          <t>Avg</t>
        </is>
      </c>
      <c r="AB7" s="26" t="n"/>
      <c r="AC7" s="26" t="n"/>
      <c r="AD7" s="26" t="n"/>
      <c r="AE7" s="26" t="n"/>
      <c r="AF7" s="26" t="n"/>
      <c r="AG7" s="26" t="n"/>
      <c r="AH7" s="26" t="n"/>
      <c r="AI7" s="26" t="n"/>
    </row>
    <row r="8" ht="50.25" customHeight="1">
      <c r="A8" s="26" t="n"/>
      <c r="B8" s="51" t="inlineStr">
        <is>
          <t>No</t>
        </is>
      </c>
      <c r="C8" s="51" t="inlineStr">
        <is>
          <t>Student #</t>
        </is>
      </c>
      <c r="D8" s="52" t="inlineStr">
        <is>
          <t>Student Name</t>
        </is>
      </c>
      <c r="E8" s="85" t="n">
        <v>45663</v>
      </c>
      <c r="F8" s="96" t="n"/>
      <c r="G8" s="85" t="n">
        <v>45670</v>
      </c>
      <c r="H8" s="96" t="n"/>
      <c r="I8" s="85" t="n">
        <v>45677</v>
      </c>
      <c r="J8" s="96" t="n"/>
      <c r="K8" s="24" t="inlineStr">
        <is>
          <t>10M</t>
        </is>
      </c>
      <c r="L8" s="85" t="n">
        <v>45684</v>
      </c>
      <c r="M8" s="96" t="n"/>
      <c r="N8" s="85" t="n">
        <v>45691</v>
      </c>
      <c r="O8" s="96" t="n"/>
      <c r="P8" s="24" t="inlineStr">
        <is>
          <t>10M</t>
        </is>
      </c>
      <c r="Q8" s="85" t="n">
        <v>45698</v>
      </c>
      <c r="R8" s="96" t="n"/>
      <c r="S8" s="85" t="n">
        <v>45705</v>
      </c>
      <c r="T8" s="96" t="n"/>
      <c r="U8" s="24" t="inlineStr">
        <is>
          <t>10M</t>
        </is>
      </c>
      <c r="V8" s="85" t="n">
        <v>45712</v>
      </c>
      <c r="W8" s="96" t="n"/>
      <c r="X8" s="85" t="n">
        <v>45719</v>
      </c>
      <c r="Y8" s="96" t="n"/>
      <c r="Z8" s="24" t="inlineStr">
        <is>
          <t>10M</t>
        </is>
      </c>
      <c r="AA8" s="21" t="inlineStr">
        <is>
          <t>Effort</t>
        </is>
      </c>
      <c r="AB8" s="71" t="inlineStr">
        <is>
          <t>#Present</t>
        </is>
      </c>
      <c r="AC8" s="72" t="inlineStr">
        <is>
          <t>#Late</t>
        </is>
      </c>
      <c r="AD8" s="72" t="inlineStr">
        <is>
          <t>#Absence</t>
        </is>
      </c>
      <c r="AE8" s="73" t="inlineStr">
        <is>
          <t>Tot Att</t>
        </is>
      </c>
      <c r="AF8" s="73" t="inlineStr">
        <is>
          <t>Attendance Mark (10)</t>
        </is>
      </c>
      <c r="AG8" s="73" t="inlineStr">
        <is>
          <t>Effort Mark (10)</t>
        </is>
      </c>
      <c r="AH8" s="73" t="inlineStr">
        <is>
          <t>Total Marks (20)</t>
        </is>
      </c>
      <c r="AI8" s="74" t="inlineStr">
        <is>
          <t>Comments</t>
        </is>
      </c>
    </row>
    <row r="9">
      <c r="A9" s="50" t="n"/>
      <c r="B9" s="4" t="n">
        <v>1</v>
      </c>
      <c r="C9" s="4" t="n">
        <v>1</v>
      </c>
      <c r="D9" s="7" t="inlineStr">
        <is>
          <t>احمد عبدالله علي سيف المزيني</t>
        </is>
      </c>
      <c r="E9" s="15" t="inlineStr">
        <is>
          <t>NA</t>
        </is>
      </c>
      <c r="F9" s="15" t="inlineStr">
        <is>
          <t>NA</t>
        </is>
      </c>
      <c r="G9" s="4" t="inlineStr">
        <is>
          <t>P</t>
        </is>
      </c>
      <c r="H9" s="4" t="inlineStr">
        <is>
          <t>P</t>
        </is>
      </c>
      <c r="I9" s="4" t="inlineStr">
        <is>
          <t>P</t>
        </is>
      </c>
      <c r="J9" s="4" t="inlineStr">
        <is>
          <t>P</t>
        </is>
      </c>
      <c r="K9" s="9" t="n">
        <v>10</v>
      </c>
      <c r="L9" s="4" t="inlineStr">
        <is>
          <t>P</t>
        </is>
      </c>
      <c r="M9" s="4" t="inlineStr">
        <is>
          <t>P</t>
        </is>
      </c>
      <c r="N9" s="4" t="inlineStr">
        <is>
          <t>P</t>
        </is>
      </c>
      <c r="O9" s="4" t="inlineStr">
        <is>
          <t>P</t>
        </is>
      </c>
      <c r="P9" s="9" t="n">
        <v>10</v>
      </c>
      <c r="Q9" s="4" t="inlineStr">
        <is>
          <t>P</t>
        </is>
      </c>
      <c r="R9" s="4" t="inlineStr">
        <is>
          <t>P</t>
        </is>
      </c>
      <c r="S9" s="4" t="inlineStr">
        <is>
          <t>P</t>
        </is>
      </c>
      <c r="T9" s="4" t="inlineStr">
        <is>
          <t>P</t>
        </is>
      </c>
      <c r="U9" s="9" t="n">
        <v>10</v>
      </c>
      <c r="V9" s="4" t="inlineStr">
        <is>
          <t>P</t>
        </is>
      </c>
      <c r="W9" s="4" t="inlineStr">
        <is>
          <t>P</t>
        </is>
      </c>
      <c r="X9" s="4" t="inlineStr">
        <is>
          <t>P</t>
        </is>
      </c>
      <c r="Y9" s="4" t="inlineStr">
        <is>
          <t>P</t>
        </is>
      </c>
      <c r="Z9" s="9" t="n">
        <v>10</v>
      </c>
      <c r="AA9" s="10">
        <f>AVERAGE(K9,P9,U9,Z9)</f>
        <v/>
      </c>
      <c r="AB9" s="11">
        <f>COUNTIF(G9:Z9,"P")</f>
        <v/>
      </c>
      <c r="AC9" s="12">
        <f>COUNTIF(G9:Z9,"L")</f>
        <v/>
      </c>
      <c r="AD9" s="13">
        <f>COUNTIF(G9:Z9,"A")</f>
        <v/>
      </c>
      <c r="AE9" s="14">
        <f>AB9+AC9</f>
        <v/>
      </c>
      <c r="AF9" s="8">
        <f>AE9/16*10</f>
        <v/>
      </c>
      <c r="AG9" s="8">
        <f>AA9</f>
        <v/>
      </c>
      <c r="AH9" s="8" t="n">
        <v>18</v>
      </c>
      <c r="AI9" s="5" t="inlineStr">
        <is>
          <t>Excellent work and effort</t>
        </is>
      </c>
    </row>
    <row r="10">
      <c r="A10" s="50" t="n"/>
      <c r="B10" s="4" t="n">
        <v>2</v>
      </c>
      <c r="C10" s="4" t="n">
        <v>2</v>
      </c>
      <c r="D10" s="7" t="inlineStr">
        <is>
          <t>جمعه مطر ضحى جمعه الظاهري</t>
        </is>
      </c>
      <c r="E10" s="15" t="inlineStr">
        <is>
          <t>NA</t>
        </is>
      </c>
      <c r="F10" s="15" t="inlineStr">
        <is>
          <t>NA</t>
        </is>
      </c>
      <c r="G10" s="4" t="inlineStr">
        <is>
          <t>P</t>
        </is>
      </c>
      <c r="H10" s="4" t="inlineStr">
        <is>
          <t>P</t>
        </is>
      </c>
      <c r="I10" s="4" t="inlineStr">
        <is>
          <t>P</t>
        </is>
      </c>
      <c r="J10" s="4" t="inlineStr">
        <is>
          <t>P</t>
        </is>
      </c>
      <c r="K10" s="9" t="n">
        <v>10</v>
      </c>
      <c r="L10" s="4" t="inlineStr">
        <is>
          <t>A</t>
        </is>
      </c>
      <c r="M10" s="4" t="inlineStr">
        <is>
          <t>A</t>
        </is>
      </c>
      <c r="N10" s="4" t="inlineStr">
        <is>
          <t>L</t>
        </is>
      </c>
      <c r="O10" s="4" t="inlineStr">
        <is>
          <t>P</t>
        </is>
      </c>
      <c r="P10" s="9" t="n">
        <v>10</v>
      </c>
      <c r="Q10" s="4" t="inlineStr">
        <is>
          <t>P</t>
        </is>
      </c>
      <c r="R10" s="4" t="inlineStr">
        <is>
          <t>P</t>
        </is>
      </c>
      <c r="S10" s="4" t="inlineStr">
        <is>
          <t>P</t>
        </is>
      </c>
      <c r="T10" s="4" t="inlineStr">
        <is>
          <t>P</t>
        </is>
      </c>
      <c r="U10" s="9" t="n">
        <v>10</v>
      </c>
      <c r="V10" s="4" t="inlineStr">
        <is>
          <t>P</t>
        </is>
      </c>
      <c r="W10" s="4" t="inlineStr">
        <is>
          <t>P</t>
        </is>
      </c>
      <c r="X10" s="4" t="inlineStr">
        <is>
          <t>P</t>
        </is>
      </c>
      <c r="Y10" s="4" t="inlineStr">
        <is>
          <t>P</t>
        </is>
      </c>
      <c r="Z10" s="9" t="n">
        <v>10</v>
      </c>
      <c r="AA10" s="10">
        <f>AVERAGE(K10,P10,U10,Z10)</f>
        <v/>
      </c>
      <c r="AB10" s="11">
        <f>COUNTIF(G10:Z10,"P")</f>
        <v/>
      </c>
      <c r="AC10" s="12">
        <f>COUNTIF(G10:Z10,"L")</f>
        <v/>
      </c>
      <c r="AD10" s="13">
        <f>COUNTIF(G10:Z10,"A")</f>
        <v/>
      </c>
      <c r="AE10" s="14">
        <f>AB10+AC10</f>
        <v/>
      </c>
      <c r="AF10" s="8">
        <f>AE10/16*10</f>
        <v/>
      </c>
      <c r="AG10" s="8">
        <f>AA10</f>
        <v/>
      </c>
      <c r="AH10" s="8" t="n">
        <v>18</v>
      </c>
      <c r="AI10" s="5" t="n"/>
    </row>
    <row r="11">
      <c r="A11" s="50" t="n"/>
      <c r="B11" s="4" t="n">
        <v>3</v>
      </c>
      <c r="C11" s="4" t="n">
        <v>3</v>
      </c>
      <c r="D11" s="7" t="inlineStr">
        <is>
          <t>حسن صالح محمد عبدالله البريكي</t>
        </is>
      </c>
      <c r="E11" s="15" t="inlineStr">
        <is>
          <t>NA</t>
        </is>
      </c>
      <c r="F11" s="15" t="inlineStr">
        <is>
          <t>NA</t>
        </is>
      </c>
      <c r="G11" s="4" t="inlineStr">
        <is>
          <t>P</t>
        </is>
      </c>
      <c r="H11" s="4" t="inlineStr">
        <is>
          <t>P</t>
        </is>
      </c>
      <c r="I11" s="4" t="inlineStr">
        <is>
          <t>P</t>
        </is>
      </c>
      <c r="J11" s="4" t="inlineStr">
        <is>
          <t>A</t>
        </is>
      </c>
      <c r="K11" s="9" t="n">
        <v>5</v>
      </c>
      <c r="L11" s="4" t="inlineStr">
        <is>
          <t>A</t>
        </is>
      </c>
      <c r="M11" s="4" t="inlineStr">
        <is>
          <t>A</t>
        </is>
      </c>
      <c r="N11" s="4" t="inlineStr">
        <is>
          <t>P</t>
        </is>
      </c>
      <c r="O11" s="4" t="inlineStr">
        <is>
          <t>P</t>
        </is>
      </c>
      <c r="P11" s="9" t="n">
        <v>5</v>
      </c>
      <c r="Q11" s="4" t="inlineStr">
        <is>
          <t>a</t>
        </is>
      </c>
      <c r="R11" s="4" t="inlineStr">
        <is>
          <t>A</t>
        </is>
      </c>
      <c r="S11" s="4" t="inlineStr">
        <is>
          <t>P</t>
        </is>
      </c>
      <c r="T11" s="4" t="inlineStr">
        <is>
          <t>P</t>
        </is>
      </c>
      <c r="U11" s="9" t="n">
        <v>5</v>
      </c>
      <c r="V11" s="4" t="inlineStr">
        <is>
          <t>a</t>
        </is>
      </c>
      <c r="W11" s="4" t="inlineStr">
        <is>
          <t>A</t>
        </is>
      </c>
      <c r="X11" s="4" t="inlineStr">
        <is>
          <t>a</t>
        </is>
      </c>
      <c r="Y11" s="4" t="inlineStr">
        <is>
          <t>a</t>
        </is>
      </c>
      <c r="Z11" s="9" t="n">
        <v>5</v>
      </c>
      <c r="AA11" s="10">
        <f>AVERAGE(K11,P11,U11,Z11)</f>
        <v/>
      </c>
      <c r="AB11" s="11">
        <f>COUNTIF(G11:Z11,"P")</f>
        <v/>
      </c>
      <c r="AC11" s="12">
        <f>COUNTIF(G11:Z11,"L")</f>
        <v/>
      </c>
      <c r="AD11" s="13">
        <f>COUNTIF(G11:Z11,"A")</f>
        <v/>
      </c>
      <c r="AE11" s="14">
        <f>AB11+AC11</f>
        <v/>
      </c>
      <c r="AF11" s="8">
        <f>AE11/16*10</f>
        <v/>
      </c>
      <c r="AG11" s="8">
        <f>AA11</f>
        <v/>
      </c>
      <c r="AH11" s="8" t="n">
        <v>18</v>
      </c>
      <c r="AI11" s="5" t="n"/>
    </row>
    <row r="12">
      <c r="A12" s="50" t="n"/>
      <c r="B12" s="4" t="n">
        <v>4</v>
      </c>
      <c r="C12" s="4" t="n">
        <v>4</v>
      </c>
      <c r="D12" s="7" t="inlineStr">
        <is>
          <t>حمدان محسن قادر بخش لال محمد احمد البلوشي</t>
        </is>
      </c>
      <c r="E12" s="15" t="inlineStr">
        <is>
          <t>NA</t>
        </is>
      </c>
      <c r="F12" s="15" t="inlineStr">
        <is>
          <t>NA</t>
        </is>
      </c>
      <c r="G12" s="4" t="n"/>
      <c r="H12" s="4" t="n"/>
      <c r="I12" s="4" t="n"/>
      <c r="J12" s="4" t="n"/>
      <c r="K12" s="9" t="n">
        <v>0</v>
      </c>
      <c r="L12" s="4" t="n"/>
      <c r="M12" s="4" t="n"/>
      <c r="N12" s="4" t="n"/>
      <c r="O12" s="4" t="n"/>
      <c r="P12" s="9" t="n">
        <v>0</v>
      </c>
      <c r="Q12" s="4" t="n"/>
      <c r="R12" s="4" t="n"/>
      <c r="S12" s="4" t="n"/>
      <c r="T12" s="4" t="n"/>
      <c r="U12" s="9" t="n">
        <v>0</v>
      </c>
      <c r="V12" s="4" t="n"/>
      <c r="W12" s="4" t="n"/>
      <c r="X12" s="4" t="n"/>
      <c r="Y12" s="4" t="n"/>
      <c r="Z12" s="9" t="n">
        <v>0</v>
      </c>
      <c r="AA12" s="10">
        <f>AVERAGE(K12,P12,U12,Z12)</f>
        <v/>
      </c>
      <c r="AB12" s="11">
        <f>COUNTIF(G12:Z12,"P")</f>
        <v/>
      </c>
      <c r="AC12" s="12">
        <f>COUNTIF(G12:Z12,"L")</f>
        <v/>
      </c>
      <c r="AD12" s="13">
        <f>COUNTIF(G12:Z12,"A")</f>
        <v/>
      </c>
      <c r="AE12" s="14">
        <f>AB12+AC12</f>
        <v/>
      </c>
      <c r="AF12" s="8">
        <f>AE12/16*10</f>
        <v/>
      </c>
      <c r="AG12" s="8">
        <f>AA12</f>
        <v/>
      </c>
      <c r="AH12" s="8" t="n">
        <v>18</v>
      </c>
      <c r="AI12" s="5" t="n"/>
    </row>
    <row r="13">
      <c r="A13" s="50" t="n"/>
      <c r="B13" s="4" t="n">
        <v>5</v>
      </c>
      <c r="C13" s="4" t="n">
        <v>5</v>
      </c>
      <c r="D13" s="7" t="inlineStr">
        <is>
          <t>حميد حمد راشد محمد الكلباني</t>
        </is>
      </c>
      <c r="E13" s="15" t="inlineStr">
        <is>
          <t>NA</t>
        </is>
      </c>
      <c r="F13" s="15" t="inlineStr">
        <is>
          <t>NA</t>
        </is>
      </c>
      <c r="G13" s="4" t="n"/>
      <c r="H13" s="4" t="n"/>
      <c r="I13" s="4" t="n"/>
      <c r="J13" s="4" t="n"/>
      <c r="K13" s="9" t="n">
        <v>0</v>
      </c>
      <c r="L13" s="4" t="n"/>
      <c r="M13" s="4" t="n"/>
      <c r="N13" s="4" t="n"/>
      <c r="O13" s="4" t="n"/>
      <c r="P13" s="9" t="n">
        <v>0</v>
      </c>
      <c r="Q13" s="4" t="n"/>
      <c r="R13" s="4" t="n"/>
      <c r="S13" s="4" t="n"/>
      <c r="T13" s="4" t="n"/>
      <c r="U13" s="9" t="n">
        <v>0</v>
      </c>
      <c r="V13" s="4" t="n"/>
      <c r="W13" s="4" t="n"/>
      <c r="X13" s="4" t="n"/>
      <c r="Y13" s="4" t="n"/>
      <c r="Z13" s="9" t="n">
        <v>0</v>
      </c>
      <c r="AA13" s="10">
        <f>AVERAGE(K13,P13,U13,Z13)</f>
        <v/>
      </c>
      <c r="AB13" s="11">
        <f>COUNTIF(G13:Z13,"P")</f>
        <v/>
      </c>
      <c r="AC13" s="12">
        <f>COUNTIF(G13:Z13,"L")</f>
        <v/>
      </c>
      <c r="AD13" s="13">
        <f>COUNTIF(G13:Z13,"A")</f>
        <v/>
      </c>
      <c r="AE13" s="14">
        <f>AB13+AC13</f>
        <v/>
      </c>
      <c r="AF13" s="8">
        <f>AE13/16*10</f>
        <v/>
      </c>
      <c r="AG13" s="8">
        <f>AA13</f>
        <v/>
      </c>
      <c r="AH13" s="8" t="n">
        <v>20</v>
      </c>
      <c r="AI13" s="5" t="n"/>
    </row>
    <row r="14">
      <c r="A14" s="50" t="n"/>
      <c r="B14" s="4" t="n">
        <v>6</v>
      </c>
      <c r="C14" s="4" t="n">
        <v>6</v>
      </c>
      <c r="D14" s="7" t="inlineStr">
        <is>
          <t>خالد هلال عبدالله بن محمد الشامسى</t>
        </is>
      </c>
      <c r="E14" s="15" t="inlineStr">
        <is>
          <t>NA</t>
        </is>
      </c>
      <c r="F14" s="15" t="inlineStr">
        <is>
          <t>NA</t>
        </is>
      </c>
      <c r="G14" s="4" t="n"/>
      <c r="H14" s="4" t="n"/>
      <c r="I14" s="4" t="n"/>
      <c r="J14" s="4" t="n"/>
      <c r="K14" s="9" t="n">
        <v>0</v>
      </c>
      <c r="L14" s="4" t="n"/>
      <c r="M14" s="4" t="n"/>
      <c r="N14" s="4" t="n"/>
      <c r="O14" s="4" t="n"/>
      <c r="P14" s="9" t="n">
        <v>0</v>
      </c>
      <c r="Q14" s="4" t="n"/>
      <c r="R14" s="4" t="n"/>
      <c r="S14" s="4" t="n"/>
      <c r="T14" s="4" t="n"/>
      <c r="U14" s="9" t="n">
        <v>0</v>
      </c>
      <c r="V14" s="4" t="n"/>
      <c r="W14" s="4" t="n"/>
      <c r="X14" s="4" t="n"/>
      <c r="Y14" s="4" t="n"/>
      <c r="Z14" s="9" t="n">
        <v>0</v>
      </c>
      <c r="AA14" s="10">
        <f>AVERAGE(K14,P14,U14,Z14)</f>
        <v/>
      </c>
      <c r="AB14" s="11">
        <f>COUNTIF(G14:Z14,"P")</f>
        <v/>
      </c>
      <c r="AC14" s="12">
        <f>COUNTIF(G14:Z14,"L")</f>
        <v/>
      </c>
      <c r="AD14" s="13">
        <f>COUNTIF(G14:Z14,"A")</f>
        <v/>
      </c>
      <c r="AE14" s="14">
        <f>AB14+AC14</f>
        <v/>
      </c>
      <c r="AF14" s="8">
        <f>AE14/16*10</f>
        <v/>
      </c>
      <c r="AG14" s="8">
        <f>AA14</f>
        <v/>
      </c>
      <c r="AH14" s="8" t="n">
        <v>19</v>
      </c>
      <c r="AI14" s="5" t="n"/>
    </row>
    <row r="15">
      <c r="A15" s="50" t="n"/>
      <c r="B15" s="4" t="n">
        <v>7</v>
      </c>
      <c r="C15" s="4" t="n">
        <v>7</v>
      </c>
      <c r="D15" s="7" t="inlineStr">
        <is>
          <t>رحمه حمدان محمد ناجى احمد</t>
        </is>
      </c>
      <c r="E15" s="15" t="inlineStr">
        <is>
          <t>NA</t>
        </is>
      </c>
      <c r="F15" s="15" t="inlineStr">
        <is>
          <t>NA</t>
        </is>
      </c>
      <c r="G15" s="4" t="n"/>
      <c r="H15" s="4" t="n"/>
      <c r="I15" s="4" t="n"/>
      <c r="J15" s="4" t="n"/>
      <c r="K15" s="9" t="n">
        <v>0</v>
      </c>
      <c r="L15" s="4" t="n"/>
      <c r="M15" s="4" t="n"/>
      <c r="N15" s="4" t="n"/>
      <c r="O15" s="4" t="n"/>
      <c r="P15" s="9" t="n">
        <v>0</v>
      </c>
      <c r="Q15" s="4" t="n"/>
      <c r="R15" s="4" t="n"/>
      <c r="S15" s="4" t="n"/>
      <c r="T15" s="4" t="n"/>
      <c r="U15" s="9" t="n">
        <v>0</v>
      </c>
      <c r="V15" s="4" t="n"/>
      <c r="W15" s="4" t="n"/>
      <c r="X15" s="4" t="n"/>
      <c r="Y15" s="4" t="n"/>
      <c r="Z15" s="9" t="n">
        <v>0</v>
      </c>
      <c r="AA15" s="10">
        <f>AVERAGE(K15,P15,U15,Z15)</f>
        <v/>
      </c>
      <c r="AB15" s="11">
        <f>COUNTIF(G15:Z15,"P")</f>
        <v/>
      </c>
      <c r="AC15" s="12">
        <f>COUNTIF(G15:Z15,"L")</f>
        <v/>
      </c>
      <c r="AD15" s="13">
        <f>COUNTIF(G15:Z15,"A")</f>
        <v/>
      </c>
      <c r="AE15" s="14">
        <f>AB15+AC15</f>
        <v/>
      </c>
      <c r="AF15" s="8">
        <f>AE15/16*10</f>
        <v/>
      </c>
      <c r="AG15" s="8">
        <f>AA15</f>
        <v/>
      </c>
      <c r="AH15" s="8" t="n">
        <v>18</v>
      </c>
      <c r="AI15" s="5" t="n"/>
    </row>
    <row r="16">
      <c r="A16" s="50" t="n"/>
      <c r="B16" s="4" t="n">
        <v>8</v>
      </c>
      <c r="C16" s="4" t="n">
        <v>8</v>
      </c>
      <c r="D16" s="7" t="inlineStr">
        <is>
          <t>روضة راضي مبخوت عبدالله</t>
        </is>
      </c>
      <c r="E16" s="15" t="inlineStr">
        <is>
          <t>NA</t>
        </is>
      </c>
      <c r="F16" s="15" t="inlineStr">
        <is>
          <t>NA</t>
        </is>
      </c>
      <c r="G16" s="4" t="n"/>
      <c r="H16" s="4" t="n"/>
      <c r="I16" s="4" t="n"/>
      <c r="J16" s="4" t="n"/>
      <c r="K16" s="9" t="n">
        <v>0</v>
      </c>
      <c r="L16" s="4" t="n"/>
      <c r="M16" s="4" t="n"/>
      <c r="N16" s="4" t="n"/>
      <c r="O16" s="4" t="n"/>
      <c r="P16" s="9" t="n">
        <v>0</v>
      </c>
      <c r="Q16" s="4" t="n"/>
      <c r="R16" s="4" t="n"/>
      <c r="S16" s="4" t="n"/>
      <c r="T16" s="4" t="n"/>
      <c r="U16" s="9" t="n">
        <v>0</v>
      </c>
      <c r="V16" s="4" t="n"/>
      <c r="W16" s="4" t="n"/>
      <c r="X16" s="4" t="n"/>
      <c r="Y16" s="4" t="n"/>
      <c r="Z16" s="9" t="n">
        <v>0</v>
      </c>
      <c r="AA16" s="10">
        <f>AVERAGE(K16,P16,U16,Z16)</f>
        <v/>
      </c>
      <c r="AB16" s="11">
        <f>COUNTIF(G16:Z16,"P")</f>
        <v/>
      </c>
      <c r="AC16" s="12">
        <f>COUNTIF(G16:Z16,"L")</f>
        <v/>
      </c>
      <c r="AD16" s="13">
        <f>COUNTIF(G16:Z16,"A")</f>
        <v/>
      </c>
      <c r="AE16" s="14">
        <f>AB16+AC16</f>
        <v/>
      </c>
      <c r="AF16" s="8">
        <f>AE16/16*10</f>
        <v/>
      </c>
      <c r="AG16" s="8">
        <f>AA16</f>
        <v/>
      </c>
      <c r="AH16" s="8" t="n">
        <v>19</v>
      </c>
      <c r="AI16" s="5" t="n"/>
    </row>
    <row r="17">
      <c r="A17" s="50" t="n"/>
      <c r="B17" s="4" t="n">
        <v>9</v>
      </c>
      <c r="C17" s="4" t="n">
        <v>9</v>
      </c>
      <c r="D17" s="7" t="inlineStr">
        <is>
          <t>زايد حمدان محمد عبدالله المهيري</t>
        </is>
      </c>
      <c r="E17" s="15" t="inlineStr">
        <is>
          <t>NA</t>
        </is>
      </c>
      <c r="F17" s="15" t="inlineStr">
        <is>
          <t>NA</t>
        </is>
      </c>
      <c r="G17" s="4" t="n"/>
      <c r="H17" s="4" t="n"/>
      <c r="I17" s="4" t="n"/>
      <c r="J17" s="4" t="n"/>
      <c r="K17" s="9" t="n">
        <v>0</v>
      </c>
      <c r="L17" s="4" t="n"/>
      <c r="M17" s="4" t="n"/>
      <c r="N17" s="4" t="n"/>
      <c r="O17" s="4" t="n"/>
      <c r="P17" s="9" t="n">
        <v>0</v>
      </c>
      <c r="Q17" s="4" t="n"/>
      <c r="R17" s="4" t="n"/>
      <c r="S17" s="4" t="n"/>
      <c r="T17" s="4" t="n"/>
      <c r="U17" s="9" t="n">
        <v>0</v>
      </c>
      <c r="V17" s="4" t="n"/>
      <c r="W17" s="4" t="n"/>
      <c r="X17" s="4" t="n"/>
      <c r="Y17" s="4" t="n"/>
      <c r="Z17" s="9" t="n">
        <v>0</v>
      </c>
      <c r="AA17" s="10">
        <f>AVERAGE(K17,P17,U17,Z17)</f>
        <v/>
      </c>
      <c r="AB17" s="11">
        <f>COUNTIF(G17:Z17,"P")</f>
        <v/>
      </c>
      <c r="AC17" s="12">
        <f>COUNTIF(G17:Z17,"L")</f>
        <v/>
      </c>
      <c r="AD17" s="13">
        <f>COUNTIF(G17:Z17,"A")</f>
        <v/>
      </c>
      <c r="AE17" s="14">
        <f>AB17+AC17</f>
        <v/>
      </c>
      <c r="AF17" s="8">
        <f>AE17/16*10</f>
        <v/>
      </c>
      <c r="AG17" s="8">
        <f>AA17</f>
        <v/>
      </c>
      <c r="AH17" s="8" t="n">
        <v>19</v>
      </c>
      <c r="AI17" s="5" t="n"/>
    </row>
    <row r="18">
      <c r="A18" s="50" t="n"/>
      <c r="B18" s="4" t="n">
        <v>10</v>
      </c>
      <c r="C18" s="4" t="n">
        <v>10</v>
      </c>
      <c r="D18" s="7" t="inlineStr">
        <is>
          <t>سلامه محسن احمد محسن عبدالله الحارثي</t>
        </is>
      </c>
      <c r="E18" s="15" t="inlineStr">
        <is>
          <t>NA</t>
        </is>
      </c>
      <c r="F18" s="15" t="inlineStr">
        <is>
          <t>NA</t>
        </is>
      </c>
      <c r="G18" s="4" t="n"/>
      <c r="H18" s="4" t="n"/>
      <c r="I18" s="4" t="n"/>
      <c r="J18" s="4" t="n"/>
      <c r="K18" s="9" t="n">
        <v>0</v>
      </c>
      <c r="L18" s="4" t="n"/>
      <c r="M18" s="4" t="n"/>
      <c r="N18" s="4" t="n"/>
      <c r="O18" s="4" t="n"/>
      <c r="P18" s="9" t="n">
        <v>0</v>
      </c>
      <c r="Q18" s="4" t="n"/>
      <c r="R18" s="4" t="n"/>
      <c r="S18" s="4" t="n"/>
      <c r="T18" s="4" t="n"/>
      <c r="U18" s="9" t="n">
        <v>0</v>
      </c>
      <c r="V18" s="4" t="n"/>
      <c r="W18" s="4" t="n"/>
      <c r="X18" s="4" t="n"/>
      <c r="Y18" s="4" t="n"/>
      <c r="Z18" s="9" t="n">
        <v>0</v>
      </c>
      <c r="AA18" s="10">
        <f>AVERAGE(K18,P18,U18,Z18)</f>
        <v/>
      </c>
      <c r="AB18" s="11">
        <f>COUNTIF(G18:Z18,"P")</f>
        <v/>
      </c>
      <c r="AC18" s="12">
        <f>COUNTIF(G18:Z18,"L")</f>
        <v/>
      </c>
      <c r="AD18" s="13">
        <f>COUNTIF(G18:Z18,"A")</f>
        <v/>
      </c>
      <c r="AE18" s="14">
        <f>AB18+AC18</f>
        <v/>
      </c>
      <c r="AF18" s="8">
        <f>AE18/16*10</f>
        <v/>
      </c>
      <c r="AG18" s="8">
        <f>AA18</f>
        <v/>
      </c>
      <c r="AH18" s="8" t="n">
        <v>20</v>
      </c>
      <c r="AI18" s="5" t="n"/>
    </row>
    <row r="19">
      <c r="A19" s="50" t="n"/>
      <c r="B19" s="4" t="n">
        <v>11</v>
      </c>
      <c r="C19" s="4" t="n">
        <v>11</v>
      </c>
      <c r="D19" s="7" t="inlineStr">
        <is>
          <t>سيف جلال سالم البادي</t>
        </is>
      </c>
      <c r="E19" s="15" t="inlineStr">
        <is>
          <t>NA</t>
        </is>
      </c>
      <c r="F19" s="15" t="inlineStr">
        <is>
          <t>NA</t>
        </is>
      </c>
      <c r="G19" s="4" t="n"/>
      <c r="H19" s="4" t="n"/>
      <c r="I19" s="4" t="n"/>
      <c r="J19" s="4" t="n"/>
      <c r="K19" s="9" t="n">
        <v>0</v>
      </c>
      <c r="L19" s="4" t="n"/>
      <c r="M19" s="4" t="n"/>
      <c r="N19" s="4" t="n"/>
      <c r="O19" s="4" t="n"/>
      <c r="P19" s="9" t="n">
        <v>0</v>
      </c>
      <c r="Q19" s="4" t="n"/>
      <c r="R19" s="4" t="n"/>
      <c r="S19" s="4" t="n"/>
      <c r="T19" s="4" t="n"/>
      <c r="U19" s="9" t="n">
        <v>0</v>
      </c>
      <c r="V19" s="4" t="n"/>
      <c r="W19" s="4" t="n"/>
      <c r="X19" s="4" t="n"/>
      <c r="Y19" s="4" t="n"/>
      <c r="Z19" s="9" t="n">
        <v>0</v>
      </c>
      <c r="AA19" s="10">
        <f>AVERAGE(K19,P19,U19,Z19)</f>
        <v/>
      </c>
      <c r="AB19" s="11">
        <f>COUNTIF(G19:Z19,"P")</f>
        <v/>
      </c>
      <c r="AC19" s="12">
        <f>COUNTIF(G19:Z19,"L")</f>
        <v/>
      </c>
      <c r="AD19" s="13">
        <f>COUNTIF(G19:Z19,"A")</f>
        <v/>
      </c>
      <c r="AE19" s="14">
        <f>AB19+AC19</f>
        <v/>
      </c>
      <c r="AF19" s="8">
        <f>AE19/16*10</f>
        <v/>
      </c>
      <c r="AG19" s="8">
        <f>AA19</f>
        <v/>
      </c>
      <c r="AH19" s="8" t="n">
        <v>20</v>
      </c>
      <c r="AI19" s="5" t="n"/>
    </row>
    <row r="20">
      <c r="A20" s="50" t="n"/>
      <c r="B20" s="4" t="n">
        <v>12</v>
      </c>
      <c r="C20" s="4" t="n">
        <v>12</v>
      </c>
      <c r="D20" s="7" t="inlineStr">
        <is>
          <t>سيف علي سعيد عمير الظاهري</t>
        </is>
      </c>
      <c r="E20" s="15" t="inlineStr">
        <is>
          <t>NA</t>
        </is>
      </c>
      <c r="F20" s="15" t="inlineStr">
        <is>
          <t>NA</t>
        </is>
      </c>
      <c r="G20" s="4" t="n"/>
      <c r="H20" s="4" t="n"/>
      <c r="I20" s="4" t="n"/>
      <c r="J20" s="4" t="n"/>
      <c r="K20" s="9" t="n">
        <v>0</v>
      </c>
      <c r="L20" s="4" t="n"/>
      <c r="M20" s="4" t="n"/>
      <c r="N20" s="4" t="n"/>
      <c r="O20" s="4" t="n"/>
      <c r="P20" s="9" t="n">
        <v>0</v>
      </c>
      <c r="Q20" s="4" t="n"/>
      <c r="R20" s="4" t="n"/>
      <c r="S20" s="4" t="n"/>
      <c r="T20" s="4" t="n"/>
      <c r="U20" s="9" t="n">
        <v>0</v>
      </c>
      <c r="V20" s="4" t="n"/>
      <c r="W20" s="4" t="n"/>
      <c r="X20" s="4" t="n"/>
      <c r="Y20" s="4" t="n"/>
      <c r="Z20" s="9" t="n">
        <v>0</v>
      </c>
      <c r="AA20" s="10">
        <f>AVERAGE(K20,P20,U20,Z20)</f>
        <v/>
      </c>
      <c r="AB20" s="11">
        <f>COUNTIF(G20:Z20,"P")</f>
        <v/>
      </c>
      <c r="AC20" s="12">
        <f>COUNTIF(G20:Z20,"L")</f>
        <v/>
      </c>
      <c r="AD20" s="13">
        <f>COUNTIF(G20:Z20,"A")</f>
        <v/>
      </c>
      <c r="AE20" s="14">
        <f>AB20+AC20</f>
        <v/>
      </c>
      <c r="AF20" s="8">
        <f>AE20/16*10</f>
        <v/>
      </c>
      <c r="AG20" s="8">
        <f>AA20</f>
        <v/>
      </c>
      <c r="AH20" s="8" t="n">
        <v>18</v>
      </c>
      <c r="AI20" s="5" t="n"/>
    </row>
    <row r="21">
      <c r="A21" s="50" t="n"/>
      <c r="B21" s="4" t="n">
        <v>13</v>
      </c>
      <c r="C21" s="4" t="n">
        <v>13</v>
      </c>
      <c r="D21" s="7" t="inlineStr">
        <is>
          <t>صالح حمد صالح مبارك المشيعى</t>
        </is>
      </c>
      <c r="E21" s="15" t="inlineStr">
        <is>
          <t>NA</t>
        </is>
      </c>
      <c r="F21" s="15" t="inlineStr">
        <is>
          <t>NA</t>
        </is>
      </c>
      <c r="G21" s="4" t="n"/>
      <c r="H21" s="4" t="n"/>
      <c r="I21" s="4" t="n"/>
      <c r="J21" s="4" t="n"/>
      <c r="K21" s="9" t="n">
        <v>0</v>
      </c>
      <c r="L21" s="4" t="n"/>
      <c r="M21" s="4" t="n"/>
      <c r="N21" s="4" t="n"/>
      <c r="O21" s="4" t="n"/>
      <c r="P21" s="9" t="n">
        <v>0</v>
      </c>
      <c r="Q21" s="4" t="n"/>
      <c r="R21" s="4" t="n"/>
      <c r="S21" s="4" t="n"/>
      <c r="T21" s="4" t="n"/>
      <c r="U21" s="9" t="n">
        <v>0</v>
      </c>
      <c r="V21" s="4" t="n"/>
      <c r="W21" s="4" t="n"/>
      <c r="X21" s="4" t="n"/>
      <c r="Y21" s="4" t="n"/>
      <c r="Z21" s="9" t="n">
        <v>0</v>
      </c>
      <c r="AA21" s="10">
        <f>AVERAGE(K21,P21,U21,Z21)</f>
        <v/>
      </c>
      <c r="AB21" s="11">
        <f>COUNTIF(G21:Z21,"P")</f>
        <v/>
      </c>
      <c r="AC21" s="12">
        <f>COUNTIF(G21:Z21,"L")</f>
        <v/>
      </c>
      <c r="AD21" s="13">
        <f>COUNTIF(G21:Z21,"A")</f>
        <v/>
      </c>
      <c r="AE21" s="14">
        <f>AB21+AC21</f>
        <v/>
      </c>
      <c r="AF21" s="8">
        <f>AE21/16*10</f>
        <v/>
      </c>
      <c r="AG21" s="8">
        <f>AA21</f>
        <v/>
      </c>
      <c r="AH21" s="8" t="n">
        <v>19</v>
      </c>
      <c r="AI21" s="5" t="n"/>
    </row>
    <row r="22">
      <c r="A22" s="50" t="n"/>
      <c r="B22" s="4" t="n">
        <v>14</v>
      </c>
      <c r="C22" s="4" t="n">
        <v>14</v>
      </c>
      <c r="D22" s="7" t="inlineStr">
        <is>
          <t>عايشه سالم علي سيف الخييلي</t>
        </is>
      </c>
      <c r="E22" s="15" t="inlineStr">
        <is>
          <t>NA</t>
        </is>
      </c>
      <c r="F22" s="15" t="inlineStr">
        <is>
          <t>NA</t>
        </is>
      </c>
      <c r="G22" s="4" t="n"/>
      <c r="H22" s="4" t="n"/>
      <c r="I22" s="4" t="n"/>
      <c r="J22" s="4" t="n"/>
      <c r="K22" s="9" t="n">
        <v>0</v>
      </c>
      <c r="L22" s="4" t="n"/>
      <c r="M22" s="4" t="n"/>
      <c r="N22" s="4" t="n"/>
      <c r="O22" s="4" t="n"/>
      <c r="P22" s="9" t="n">
        <v>0</v>
      </c>
      <c r="Q22" s="4" t="n"/>
      <c r="R22" s="4" t="n"/>
      <c r="S22" s="4" t="n"/>
      <c r="T22" s="4" t="n"/>
      <c r="U22" s="9" t="n">
        <v>0</v>
      </c>
      <c r="V22" s="4" t="n"/>
      <c r="W22" s="4" t="n"/>
      <c r="X22" s="4" t="n"/>
      <c r="Y22" s="4" t="n"/>
      <c r="Z22" s="9" t="n">
        <v>0</v>
      </c>
      <c r="AA22" s="10">
        <f>AVERAGE(K22,P22,U22,Z22)</f>
        <v/>
      </c>
      <c r="AB22" s="11">
        <f>COUNTIF(G22:Z22,"P")</f>
        <v/>
      </c>
      <c r="AC22" s="12">
        <f>COUNTIF(G22:Z22,"L")</f>
        <v/>
      </c>
      <c r="AD22" s="13">
        <f>COUNTIF(G22:Z22,"A")</f>
        <v/>
      </c>
      <c r="AE22" s="14">
        <f>AB22+AC22</f>
        <v/>
      </c>
      <c r="AF22" s="8">
        <f>AE22/16*10</f>
        <v/>
      </c>
      <c r="AG22" s="8">
        <f>AA22</f>
        <v/>
      </c>
      <c r="AH22" s="8" t="n">
        <v>18</v>
      </c>
      <c r="AI22" s="5" t="n"/>
    </row>
    <row r="23">
      <c r="A23" s="50" t="n"/>
      <c r="B23" s="4" t="n">
        <v>15</v>
      </c>
      <c r="C23" s="4" t="n">
        <v>15</v>
      </c>
      <c r="D23" s="7" t="inlineStr">
        <is>
          <t>عبدالله على سالم مسعود الظاهري</t>
        </is>
      </c>
      <c r="E23" s="15" t="inlineStr">
        <is>
          <t>NA</t>
        </is>
      </c>
      <c r="F23" s="15" t="inlineStr">
        <is>
          <t>NA</t>
        </is>
      </c>
      <c r="G23" s="4" t="n"/>
      <c r="H23" s="4" t="n"/>
      <c r="I23" s="4" t="n"/>
      <c r="J23" s="4" t="n"/>
      <c r="K23" s="9" t="n">
        <v>0</v>
      </c>
      <c r="L23" s="4" t="n"/>
      <c r="M23" s="4" t="n"/>
      <c r="N23" s="4" t="n"/>
      <c r="O23" s="4" t="n"/>
      <c r="P23" s="9" t="n">
        <v>0</v>
      </c>
      <c r="Q23" s="4" t="n"/>
      <c r="R23" s="4" t="n"/>
      <c r="S23" s="4" t="n"/>
      <c r="T23" s="4" t="n"/>
      <c r="U23" s="9" t="n">
        <v>0</v>
      </c>
      <c r="V23" s="4" t="n"/>
      <c r="W23" s="4" t="n"/>
      <c r="X23" s="4" t="n"/>
      <c r="Y23" s="4" t="n"/>
      <c r="Z23" s="9" t="n">
        <v>0</v>
      </c>
      <c r="AA23" s="10">
        <f>AVERAGE(K23,P23,U23,Z23)</f>
        <v/>
      </c>
      <c r="AB23" s="11">
        <f>COUNTIF(G23:Z23,"P")</f>
        <v/>
      </c>
      <c r="AC23" s="12">
        <f>COUNTIF(G23:Z23,"L")</f>
        <v/>
      </c>
      <c r="AD23" s="13">
        <f>COUNTIF(G23:Z23,"A")</f>
        <v/>
      </c>
      <c r="AE23" s="14">
        <f>AB23+AC23</f>
        <v/>
      </c>
      <c r="AF23" s="8">
        <f>AE23/16*10</f>
        <v/>
      </c>
      <c r="AG23" s="8">
        <f>AA23</f>
        <v/>
      </c>
      <c r="AH23" s="8" t="n">
        <v>20</v>
      </c>
      <c r="AI23" s="5" t="n"/>
    </row>
    <row r="24">
      <c r="A24" s="50" t="n"/>
      <c r="B24" s="4" t="n">
        <v>16</v>
      </c>
      <c r="C24" s="4" t="n">
        <v>16</v>
      </c>
      <c r="D24" s="7" t="inlineStr">
        <is>
          <t>علي محمد احمد حمدان العامري</t>
        </is>
      </c>
      <c r="E24" s="15" t="inlineStr">
        <is>
          <t>NA</t>
        </is>
      </c>
      <c r="F24" s="15" t="inlineStr">
        <is>
          <t>NA</t>
        </is>
      </c>
      <c r="G24" s="4" t="n"/>
      <c r="H24" s="4" t="n"/>
      <c r="I24" s="4" t="n"/>
      <c r="J24" s="4" t="n"/>
      <c r="K24" s="9" t="n">
        <v>0</v>
      </c>
      <c r="L24" s="4" t="n"/>
      <c r="M24" s="4" t="n"/>
      <c r="N24" s="4" t="n"/>
      <c r="O24" s="4" t="n"/>
      <c r="P24" s="9" t="n">
        <v>0</v>
      </c>
      <c r="Q24" s="4" t="n"/>
      <c r="R24" s="4" t="n"/>
      <c r="S24" s="4" t="n"/>
      <c r="T24" s="4" t="n"/>
      <c r="U24" s="9" t="n">
        <v>0</v>
      </c>
      <c r="V24" s="4" t="n"/>
      <c r="W24" s="4" t="n"/>
      <c r="X24" s="4" t="n"/>
      <c r="Y24" s="4" t="n"/>
      <c r="Z24" s="9" t="n">
        <v>0</v>
      </c>
      <c r="AA24" s="10">
        <f>AVERAGE(K24,P24,U24,Z24)</f>
        <v/>
      </c>
      <c r="AB24" s="11">
        <f>COUNTIF(G24:Z24,"P")</f>
        <v/>
      </c>
      <c r="AC24" s="12">
        <f>COUNTIF(G24:Z24,"L")</f>
        <v/>
      </c>
      <c r="AD24" s="13">
        <f>COUNTIF(G24:Z24,"A")</f>
        <v/>
      </c>
      <c r="AE24" s="14">
        <f>AB24+AC24</f>
        <v/>
      </c>
      <c r="AF24" s="8">
        <f>AE24/16*10</f>
        <v/>
      </c>
      <c r="AG24" s="8">
        <f>AA24</f>
        <v/>
      </c>
      <c r="AH24" s="8" t="n">
        <v>19</v>
      </c>
      <c r="AI24" s="5" t="n"/>
    </row>
    <row r="25">
      <c r="A25" s="50" t="n"/>
      <c r="B25" s="4" t="n">
        <v>17</v>
      </c>
      <c r="C25" s="4" t="n">
        <v>17</v>
      </c>
      <c r="D25" s="7" t="inlineStr">
        <is>
          <t>لميس محمد الامين</t>
        </is>
      </c>
      <c r="E25" s="15" t="inlineStr">
        <is>
          <t>NA</t>
        </is>
      </c>
      <c r="F25" s="15" t="inlineStr">
        <is>
          <t>NA</t>
        </is>
      </c>
      <c r="G25" s="4" t="n"/>
      <c r="H25" s="4" t="n"/>
      <c r="I25" s="4" t="n"/>
      <c r="J25" s="4" t="n"/>
      <c r="K25" s="9" t="n">
        <v>0</v>
      </c>
      <c r="L25" s="4" t="n"/>
      <c r="M25" s="4" t="n"/>
      <c r="N25" s="4" t="n"/>
      <c r="O25" s="4" t="n"/>
      <c r="P25" s="9" t="n">
        <v>0</v>
      </c>
      <c r="Q25" s="4" t="n"/>
      <c r="R25" s="4" t="n"/>
      <c r="S25" s="4" t="n"/>
      <c r="T25" s="4" t="n"/>
      <c r="U25" s="9" t="n">
        <v>0</v>
      </c>
      <c r="V25" s="4" t="n"/>
      <c r="W25" s="4" t="n"/>
      <c r="X25" s="4" t="n"/>
      <c r="Y25" s="4" t="n"/>
      <c r="Z25" s="9" t="n">
        <v>0</v>
      </c>
      <c r="AA25" s="10">
        <f>AVERAGE(K25,P25,U25,Z25)</f>
        <v/>
      </c>
      <c r="AB25" s="11">
        <f>COUNTIF(G25:Z25,"P")</f>
        <v/>
      </c>
      <c r="AC25" s="12">
        <f>COUNTIF(G25:Z25,"L")</f>
        <v/>
      </c>
      <c r="AD25" s="13">
        <f>COUNTIF(G25:Z25,"A")</f>
        <v/>
      </c>
      <c r="AE25" s="14">
        <f>AB25+AC25</f>
        <v/>
      </c>
      <c r="AF25" s="8">
        <f>AE25/16*10</f>
        <v/>
      </c>
      <c r="AG25" s="8">
        <f>AA25</f>
        <v/>
      </c>
      <c r="AH25" s="8" t="n">
        <v>19</v>
      </c>
      <c r="AI25" s="5" t="n"/>
    </row>
    <row r="26">
      <c r="A26" s="50" t="n"/>
      <c r="B26" s="4" t="n">
        <v>18</v>
      </c>
      <c r="C26" s="4" t="n">
        <v>18</v>
      </c>
      <c r="D26" s="7" t="inlineStr">
        <is>
          <t>ماريا سعيد جمعه سعيد</t>
        </is>
      </c>
      <c r="E26" s="15" t="inlineStr">
        <is>
          <t>NA</t>
        </is>
      </c>
      <c r="F26" s="15" t="inlineStr">
        <is>
          <t>NA</t>
        </is>
      </c>
      <c r="G26" s="4" t="n"/>
      <c r="H26" s="4" t="n"/>
      <c r="I26" s="4" t="n"/>
      <c r="J26" s="4" t="n"/>
      <c r="K26" s="9" t="n">
        <v>0</v>
      </c>
      <c r="L26" s="4" t="n"/>
      <c r="M26" s="4" t="n"/>
      <c r="N26" s="4" t="n"/>
      <c r="O26" s="4" t="n"/>
      <c r="P26" s="9" t="n">
        <v>0</v>
      </c>
      <c r="Q26" s="4" t="n"/>
      <c r="R26" s="4" t="n"/>
      <c r="S26" s="4" t="n"/>
      <c r="T26" s="4" t="n"/>
      <c r="U26" s="9" t="n">
        <v>0</v>
      </c>
      <c r="V26" s="4" t="n"/>
      <c r="W26" s="4" t="n"/>
      <c r="X26" s="4" t="n"/>
      <c r="Y26" s="4" t="n"/>
      <c r="Z26" s="9" t="n">
        <v>0</v>
      </c>
      <c r="AA26" s="10">
        <f>AVERAGE(K26,P26,U26,Z26)</f>
        <v/>
      </c>
      <c r="AB26" s="11">
        <f>COUNTIF(G26:Z26,"P")</f>
        <v/>
      </c>
      <c r="AC26" s="12">
        <f>COUNTIF(G26:Z26,"L")</f>
        <v/>
      </c>
      <c r="AD26" s="13">
        <f>COUNTIF(G26:Z26,"A")</f>
        <v/>
      </c>
      <c r="AE26" s="14">
        <f>AB26+AC26</f>
        <v/>
      </c>
      <c r="AF26" s="8">
        <f>AE26/16*10</f>
        <v/>
      </c>
      <c r="AG26" s="8">
        <f>AA26</f>
        <v/>
      </c>
      <c r="AH26" s="8" t="n">
        <v>18</v>
      </c>
      <c r="AI26" s="5" t="n"/>
    </row>
    <row r="27">
      <c r="A27" s="50" t="n"/>
      <c r="B27" s="4" t="n">
        <v>19</v>
      </c>
      <c r="C27" s="4" t="n">
        <v>19</v>
      </c>
      <c r="D27" s="7" t="inlineStr">
        <is>
          <t>مروه خالد سالم حميد الريسي</t>
        </is>
      </c>
      <c r="E27" s="15" t="inlineStr">
        <is>
          <t>NA</t>
        </is>
      </c>
      <c r="F27" s="15" t="inlineStr">
        <is>
          <t>NA</t>
        </is>
      </c>
      <c r="G27" s="4" t="n"/>
      <c r="H27" s="4" t="n"/>
      <c r="I27" s="4" t="n"/>
      <c r="J27" s="4" t="n"/>
      <c r="K27" s="9" t="n">
        <v>0</v>
      </c>
      <c r="L27" s="4" t="n"/>
      <c r="M27" s="4" t="n"/>
      <c r="N27" s="4" t="n"/>
      <c r="O27" s="4" t="n"/>
      <c r="P27" s="9" t="n">
        <v>0</v>
      </c>
      <c r="Q27" s="4" t="n"/>
      <c r="R27" s="4" t="n"/>
      <c r="S27" s="4" t="n"/>
      <c r="T27" s="4" t="n"/>
      <c r="U27" s="9" t="n">
        <v>0</v>
      </c>
      <c r="V27" s="4" t="n"/>
      <c r="W27" s="4" t="n"/>
      <c r="X27" s="4" t="n"/>
      <c r="Y27" s="4" t="n"/>
      <c r="Z27" s="9" t="n">
        <v>0</v>
      </c>
      <c r="AA27" s="10">
        <f>AVERAGE(K27,P27,U27,Z27)</f>
        <v/>
      </c>
      <c r="AB27" s="11">
        <f>COUNTIF(G27:Z27,"P")</f>
        <v/>
      </c>
      <c r="AC27" s="12">
        <f>COUNTIF(G27:Z27,"L")</f>
        <v/>
      </c>
      <c r="AD27" s="13">
        <f>COUNTIF(G27:Z27,"A")</f>
        <v/>
      </c>
      <c r="AE27" s="14">
        <f>AB27+AC27</f>
        <v/>
      </c>
      <c r="AF27" s="8">
        <f>AE27/16*10</f>
        <v/>
      </c>
      <c r="AG27" s="8">
        <f>AA27</f>
        <v/>
      </c>
      <c r="AH27" s="8" t="n">
        <v>18</v>
      </c>
      <c r="AI27" s="5" t="n"/>
    </row>
    <row r="28">
      <c r="A28" s="50" t="n"/>
      <c r="B28" s="4" t="n">
        <v>20</v>
      </c>
      <c r="C28" s="4" t="n">
        <v>20</v>
      </c>
      <c r="D28" s="7" t="inlineStr">
        <is>
          <t>مريم يوسف عبدالكريم محمد البلوشي</t>
        </is>
      </c>
      <c r="E28" s="15" t="inlineStr">
        <is>
          <t>NA</t>
        </is>
      </c>
      <c r="F28" s="15" t="inlineStr">
        <is>
          <t>NA</t>
        </is>
      </c>
      <c r="G28" s="4" t="n"/>
      <c r="H28" s="4" t="n"/>
      <c r="I28" s="4" t="n"/>
      <c r="J28" s="4" t="n"/>
      <c r="K28" s="9" t="n">
        <v>0</v>
      </c>
      <c r="L28" s="4" t="n"/>
      <c r="M28" s="4" t="n"/>
      <c r="N28" s="4" t="n"/>
      <c r="O28" s="4" t="n"/>
      <c r="P28" s="9" t="n">
        <v>0</v>
      </c>
      <c r="Q28" s="4" t="n"/>
      <c r="R28" s="4" t="n"/>
      <c r="S28" s="4" t="n"/>
      <c r="T28" s="4" t="n"/>
      <c r="U28" s="9" t="n">
        <v>0</v>
      </c>
      <c r="V28" s="4" t="n"/>
      <c r="W28" s="4" t="n"/>
      <c r="X28" s="4" t="n"/>
      <c r="Y28" s="4" t="n"/>
      <c r="Z28" s="9" t="n">
        <v>0</v>
      </c>
      <c r="AA28" s="10">
        <f>AVERAGE(K28,P28,U28,Z28)</f>
        <v/>
      </c>
      <c r="AB28" s="11">
        <f>COUNTIF(G28:Z28,"P")</f>
        <v/>
      </c>
      <c r="AC28" s="12">
        <f>COUNTIF(G28:Z28,"L")</f>
        <v/>
      </c>
      <c r="AD28" s="13">
        <f>COUNTIF(G28:Z28,"A")</f>
        <v/>
      </c>
      <c r="AE28" s="14">
        <f>AB28+AC28</f>
        <v/>
      </c>
      <c r="AF28" s="8">
        <f>AE28/16*10</f>
        <v/>
      </c>
      <c r="AG28" s="8">
        <f>AA28</f>
        <v/>
      </c>
      <c r="AH28" s="8" t="n">
        <v>20</v>
      </c>
      <c r="AI28" s="5" t="n"/>
    </row>
    <row r="29">
      <c r="A29" s="50" t="n"/>
      <c r="B29" s="4" t="n">
        <v>21</v>
      </c>
      <c r="C29" s="4" t="n">
        <v>21</v>
      </c>
      <c r="D29" s="7" t="inlineStr">
        <is>
          <t>مريم يوسف محمد يعقوب البلوشى</t>
        </is>
      </c>
      <c r="E29" s="15" t="inlineStr">
        <is>
          <t>NA</t>
        </is>
      </c>
      <c r="F29" s="15" t="inlineStr">
        <is>
          <t>NA</t>
        </is>
      </c>
      <c r="G29" s="4" t="n"/>
      <c r="H29" s="4" t="n"/>
      <c r="I29" s="4" t="n"/>
      <c r="J29" s="4" t="n"/>
      <c r="K29" s="9" t="n">
        <v>0</v>
      </c>
      <c r="L29" s="4" t="n"/>
      <c r="M29" s="4" t="n"/>
      <c r="N29" s="4" t="n"/>
      <c r="O29" s="4" t="n"/>
      <c r="P29" s="9" t="n">
        <v>0</v>
      </c>
      <c r="Q29" s="4" t="n"/>
      <c r="R29" s="4" t="n"/>
      <c r="S29" s="4" t="n"/>
      <c r="T29" s="4" t="n"/>
      <c r="U29" s="9" t="n">
        <v>0</v>
      </c>
      <c r="V29" s="4" t="n"/>
      <c r="W29" s="4" t="n"/>
      <c r="X29" s="4" t="n"/>
      <c r="Y29" s="4" t="n"/>
      <c r="Z29" s="9" t="n">
        <v>0</v>
      </c>
      <c r="AA29" s="10">
        <f>AVERAGE(K29,P29,U29,Z29)</f>
        <v/>
      </c>
      <c r="AB29" s="11">
        <f>COUNTIF(G29:Z29,"P")</f>
        <v/>
      </c>
      <c r="AC29" s="12">
        <f>COUNTIF(G29:Z29,"L")</f>
        <v/>
      </c>
      <c r="AD29" s="13">
        <f>COUNTIF(G29:Z29,"A")</f>
        <v/>
      </c>
      <c r="AE29" s="14">
        <f>AB29+AC29</f>
        <v/>
      </c>
      <c r="AF29" s="8">
        <f>AE29/16*10</f>
        <v/>
      </c>
      <c r="AG29" s="8">
        <f>AA29</f>
        <v/>
      </c>
      <c r="AH29" s="8" t="n">
        <v>18</v>
      </c>
      <c r="AI29" s="5" t="n"/>
    </row>
    <row r="30">
      <c r="A30" s="50" t="n"/>
      <c r="B30" s="4" t="n">
        <v>22</v>
      </c>
      <c r="C30" s="4" t="n">
        <v>22</v>
      </c>
      <c r="D30" s="7" t="inlineStr">
        <is>
          <t>مهرة حسن محمد عبده عبدالاله</t>
        </is>
      </c>
      <c r="E30" s="15" t="inlineStr">
        <is>
          <t>NA</t>
        </is>
      </c>
      <c r="F30" s="15" t="inlineStr">
        <is>
          <t>NA</t>
        </is>
      </c>
      <c r="G30" s="4" t="n"/>
      <c r="H30" s="4" t="n"/>
      <c r="I30" s="4" t="n"/>
      <c r="J30" s="4" t="n"/>
      <c r="K30" s="9" t="n">
        <v>0</v>
      </c>
      <c r="L30" s="4" t="n"/>
      <c r="M30" s="4" t="n"/>
      <c r="N30" s="4" t="n"/>
      <c r="O30" s="4" t="n"/>
      <c r="P30" s="9" t="n">
        <v>0</v>
      </c>
      <c r="Q30" s="4" t="n"/>
      <c r="R30" s="4" t="n"/>
      <c r="S30" s="4" t="n"/>
      <c r="T30" s="4" t="n"/>
      <c r="U30" s="9" t="n">
        <v>0</v>
      </c>
      <c r="V30" s="4" t="n"/>
      <c r="W30" s="4" t="n"/>
      <c r="X30" s="4" t="n"/>
      <c r="Y30" s="4" t="n"/>
      <c r="Z30" s="9" t="n">
        <v>0</v>
      </c>
      <c r="AA30" s="10">
        <f>AVERAGE(K30,P30,U30,Z30)</f>
        <v/>
      </c>
      <c r="AB30" s="11">
        <f>COUNTIF(G30:Z30,"P")</f>
        <v/>
      </c>
      <c r="AC30" s="12">
        <f>COUNTIF(G30:Z30,"L")</f>
        <v/>
      </c>
      <c r="AD30" s="13">
        <f>COUNTIF(G30:Z30,"A")</f>
        <v/>
      </c>
      <c r="AE30" s="14">
        <f>AB30+AC30</f>
        <v/>
      </c>
      <c r="AF30" s="8">
        <f>AE30/16*10</f>
        <v/>
      </c>
      <c r="AG30" s="8">
        <f>AA30</f>
        <v/>
      </c>
      <c r="AH30" s="8" t="n">
        <v>20</v>
      </c>
      <c r="AI30" s="5" t="n"/>
    </row>
    <row r="31">
      <c r="A31" s="50" t="n"/>
      <c r="B31" s="4" t="n">
        <v>23</v>
      </c>
      <c r="C31" s="4" t="n">
        <v>23</v>
      </c>
      <c r="D31" s="7" t="inlineStr">
        <is>
          <t>ميره صالح جاسم سعيد البلوشي</t>
        </is>
      </c>
      <c r="E31" s="15" t="inlineStr">
        <is>
          <t>NA</t>
        </is>
      </c>
      <c r="F31" s="15" t="inlineStr">
        <is>
          <t>NA</t>
        </is>
      </c>
      <c r="G31" s="4" t="n"/>
      <c r="H31" s="4" t="n"/>
      <c r="I31" s="4" t="n"/>
      <c r="J31" s="4" t="n"/>
      <c r="K31" s="9" t="n">
        <v>0</v>
      </c>
      <c r="L31" s="4" t="n"/>
      <c r="M31" s="4" t="n"/>
      <c r="N31" s="4" t="n"/>
      <c r="O31" s="4" t="n"/>
      <c r="P31" s="9" t="n">
        <v>0</v>
      </c>
      <c r="Q31" s="4" t="n"/>
      <c r="R31" s="4" t="n"/>
      <c r="S31" s="4" t="n"/>
      <c r="T31" s="4" t="n"/>
      <c r="U31" s="9" t="n">
        <v>0</v>
      </c>
      <c r="V31" s="4" t="n"/>
      <c r="W31" s="4" t="n"/>
      <c r="X31" s="4" t="n"/>
      <c r="Y31" s="4" t="n"/>
      <c r="Z31" s="9" t="n">
        <v>0</v>
      </c>
      <c r="AA31" s="10">
        <f>AVERAGE(K31,P31,U31,Z31)</f>
        <v/>
      </c>
      <c r="AB31" s="11">
        <f>COUNTIF(G31:Z31,"P")</f>
        <v/>
      </c>
      <c r="AC31" s="12">
        <f>COUNTIF(G31:Z31,"L")</f>
        <v/>
      </c>
      <c r="AD31" s="13">
        <f>COUNTIF(G31:Z31,"A")</f>
        <v/>
      </c>
      <c r="AE31" s="14">
        <f>AB31+AC31</f>
        <v/>
      </c>
      <c r="AF31" s="8">
        <f>AE31/16*10</f>
        <v/>
      </c>
      <c r="AG31" s="8">
        <f>AA31</f>
        <v/>
      </c>
      <c r="AH31" s="8" t="n">
        <v>20</v>
      </c>
      <c r="AI31" s="5" t="n"/>
    </row>
    <row r="32">
      <c r="A32" s="50" t="n"/>
      <c r="B32" s="4" t="n">
        <v>24</v>
      </c>
      <c r="C32" s="4" t="n">
        <v>24</v>
      </c>
      <c r="D32" s="7" t="inlineStr">
        <is>
          <t>ناصر محمد احمد عادل ابراهيم رسلان</t>
        </is>
      </c>
      <c r="E32" s="15" t="inlineStr">
        <is>
          <t>NA</t>
        </is>
      </c>
      <c r="F32" s="15" t="inlineStr">
        <is>
          <t>NA</t>
        </is>
      </c>
      <c r="G32" s="4" t="n"/>
      <c r="H32" s="4" t="n"/>
      <c r="I32" s="4" t="n"/>
      <c r="J32" s="4" t="n"/>
      <c r="K32" s="9" t="n">
        <v>0</v>
      </c>
      <c r="L32" s="4" t="n"/>
      <c r="M32" s="4" t="n"/>
      <c r="N32" s="4" t="n"/>
      <c r="O32" s="4" t="n"/>
      <c r="P32" s="9" t="n">
        <v>0</v>
      </c>
      <c r="Q32" s="4" t="n"/>
      <c r="R32" s="4" t="n"/>
      <c r="S32" s="4" t="n"/>
      <c r="T32" s="4" t="n"/>
      <c r="U32" s="9" t="n">
        <v>0</v>
      </c>
      <c r="V32" s="4" t="n"/>
      <c r="W32" s="4" t="n"/>
      <c r="X32" s="4" t="n"/>
      <c r="Y32" s="4" t="n"/>
      <c r="Z32" s="9" t="n">
        <v>0</v>
      </c>
      <c r="AA32" s="10">
        <f>AVERAGE(K32,P32,U32,Z32)</f>
        <v/>
      </c>
      <c r="AB32" s="11">
        <f>COUNTIF(G32:Z32,"P")</f>
        <v/>
      </c>
      <c r="AC32" s="12">
        <f>COUNTIF(G32:Z32,"L")</f>
        <v/>
      </c>
      <c r="AD32" s="13">
        <f>COUNTIF(G32:Z32,"A")</f>
        <v/>
      </c>
      <c r="AE32" s="14">
        <f>AB32+AC32</f>
        <v/>
      </c>
      <c r="AF32" s="8">
        <f>AE32/16*10</f>
        <v/>
      </c>
      <c r="AG32" s="8">
        <f>AA32</f>
        <v/>
      </c>
      <c r="AH32" s="8" t="n">
        <v>19</v>
      </c>
      <c r="AI32" s="5" t="n"/>
    </row>
    <row r="33">
      <c r="A33" s="50" t="n"/>
      <c r="B33" s="4" t="n">
        <v>25</v>
      </c>
      <c r="C33" s="4" t="n">
        <v>25</v>
      </c>
      <c r="D33" s="7" t="inlineStr">
        <is>
          <t>هيفاء مسفر ناصر سعود المنصوري</t>
        </is>
      </c>
      <c r="E33" s="15" t="inlineStr">
        <is>
          <t>NA</t>
        </is>
      </c>
      <c r="F33" s="15" t="inlineStr">
        <is>
          <t>NA</t>
        </is>
      </c>
      <c r="G33" s="4" t="n"/>
      <c r="H33" s="4" t="n"/>
      <c r="I33" s="4" t="n"/>
      <c r="J33" s="4" t="n"/>
      <c r="K33" s="9" t="n">
        <v>0</v>
      </c>
      <c r="L33" s="4" t="n"/>
      <c r="M33" s="4" t="n"/>
      <c r="N33" s="4" t="n"/>
      <c r="O33" s="4" t="n"/>
      <c r="P33" s="9" t="n">
        <v>0</v>
      </c>
      <c r="Q33" s="4" t="n"/>
      <c r="R33" s="4" t="n"/>
      <c r="S33" s="4" t="n"/>
      <c r="T33" s="4" t="n"/>
      <c r="U33" s="9" t="n">
        <v>0</v>
      </c>
      <c r="V33" s="4" t="n"/>
      <c r="W33" s="4" t="n"/>
      <c r="X33" s="4" t="n"/>
      <c r="Y33" s="4" t="n"/>
      <c r="Z33" s="9" t="n">
        <v>0</v>
      </c>
      <c r="AA33" s="10">
        <f>AVERAGE(K33,P33,U33,Z33)</f>
        <v/>
      </c>
      <c r="AB33" s="11">
        <f>COUNTIF(G33:Z33,"P")</f>
        <v/>
      </c>
      <c r="AC33" s="12">
        <f>COUNTIF(G33:Z33,"L")</f>
        <v/>
      </c>
      <c r="AD33" s="13">
        <f>COUNTIF(G33:Z33,"A")</f>
        <v/>
      </c>
      <c r="AE33" s="14">
        <f>AB33+AC33</f>
        <v/>
      </c>
      <c r="AF33" s="8">
        <f>AE33/16*10</f>
        <v/>
      </c>
      <c r="AG33" s="8">
        <f>AA33</f>
        <v/>
      </c>
      <c r="AH33" s="8" t="n">
        <v>20</v>
      </c>
      <c r="AI33" s="5" t="n"/>
    </row>
    <row r="34">
      <c r="A34" s="50" t="n"/>
      <c r="B34" s="4" t="n">
        <v>26</v>
      </c>
      <c r="C34" s="4" t="n">
        <v>26</v>
      </c>
      <c r="D34" s="7" t="inlineStr">
        <is>
          <t>وديمه خليل هادى سعيد الأحبابي</t>
        </is>
      </c>
      <c r="E34" s="15" t="inlineStr">
        <is>
          <t>NA</t>
        </is>
      </c>
      <c r="F34" s="15" t="inlineStr">
        <is>
          <t>NA</t>
        </is>
      </c>
      <c r="G34" s="4" t="n"/>
      <c r="H34" s="4" t="n"/>
      <c r="I34" s="4" t="n"/>
      <c r="J34" s="4" t="n"/>
      <c r="K34" s="9" t="n">
        <v>0</v>
      </c>
      <c r="L34" s="4" t="n"/>
      <c r="M34" s="4" t="n"/>
      <c r="N34" s="4" t="n"/>
      <c r="O34" s="4" t="n"/>
      <c r="P34" s="9" t="n">
        <v>0</v>
      </c>
      <c r="Q34" s="4" t="n"/>
      <c r="R34" s="4" t="n"/>
      <c r="S34" s="4" t="n"/>
      <c r="T34" s="4" t="n"/>
      <c r="U34" s="9" t="n">
        <v>0</v>
      </c>
      <c r="V34" s="4" t="n"/>
      <c r="W34" s="4" t="n"/>
      <c r="X34" s="4" t="n"/>
      <c r="Y34" s="4" t="n"/>
      <c r="Z34" s="9" t="n">
        <v>0</v>
      </c>
      <c r="AA34" s="10">
        <f>AVERAGE(K34,P34,U34,Z34)</f>
        <v/>
      </c>
      <c r="AB34" s="11">
        <f>COUNTIF(G34:Z34,"P")</f>
        <v/>
      </c>
      <c r="AC34" s="12">
        <f>COUNTIF(G34:Z34,"L")</f>
        <v/>
      </c>
      <c r="AD34" s="13">
        <f>COUNTIF(G34:Z34,"A")</f>
        <v/>
      </c>
      <c r="AE34" s="14">
        <f>AB34+AC34</f>
        <v/>
      </c>
      <c r="AF34" s="8">
        <f>AE34/16*10</f>
        <v/>
      </c>
      <c r="AG34" s="8">
        <f>AA34</f>
        <v/>
      </c>
      <c r="AH34" s="8" t="n">
        <v>18</v>
      </c>
      <c r="AI34" s="5" t="n"/>
    </row>
    <row r="35">
      <c r="A35" s="50" t="n"/>
      <c r="B35" s="4" t="n">
        <v>27</v>
      </c>
      <c r="C35" s="4" t="n"/>
      <c r="D35" s="7" t="n"/>
      <c r="E35" s="15" t="inlineStr">
        <is>
          <t>NA</t>
        </is>
      </c>
      <c r="F35" s="15" t="inlineStr">
        <is>
          <t>NA</t>
        </is>
      </c>
      <c r="G35" s="4" t="n"/>
      <c r="H35" s="4" t="n"/>
      <c r="I35" s="4" t="n"/>
      <c r="J35" s="4" t="n"/>
      <c r="K35" s="9" t="n">
        <v>0</v>
      </c>
      <c r="L35" s="4" t="n"/>
      <c r="M35" s="4" t="n"/>
      <c r="N35" s="4" t="n"/>
      <c r="O35" s="4" t="n"/>
      <c r="P35" s="9" t="n">
        <v>0</v>
      </c>
      <c r="Q35" s="4" t="n"/>
      <c r="R35" s="4" t="n"/>
      <c r="S35" s="4" t="n"/>
      <c r="T35" s="4" t="n"/>
      <c r="U35" s="9" t="n">
        <v>0</v>
      </c>
      <c r="V35" s="4" t="n"/>
      <c r="W35" s="4" t="n"/>
      <c r="X35" s="4" t="n"/>
      <c r="Y35" s="4" t="n"/>
      <c r="Z35" s="9" t="n">
        <v>0</v>
      </c>
      <c r="AA35" s="10">
        <f>AVERAGE(K35,P35,U35,Z35)</f>
        <v/>
      </c>
      <c r="AB35" s="11">
        <f>COUNTIF(G35:Z35,"P")</f>
        <v/>
      </c>
      <c r="AC35" s="12">
        <f>COUNTIF(G35:Z35,"L")</f>
        <v/>
      </c>
      <c r="AD35" s="13">
        <f>COUNTIF(G35:Z35,"A")</f>
        <v/>
      </c>
      <c r="AE35" s="14">
        <f>AB35+AC35</f>
        <v/>
      </c>
      <c r="AF35" s="8">
        <f>AE35/16*10</f>
        <v/>
      </c>
      <c r="AG35" s="8">
        <f>AA35</f>
        <v/>
      </c>
      <c r="AH35" s="8" t="n"/>
      <c r="AI35" s="5" t="n"/>
    </row>
    <row r="36">
      <c r="A36" s="50" t="n"/>
      <c r="B36" s="4" t="n">
        <v>28</v>
      </c>
      <c r="C36" s="4" t="n"/>
      <c r="D36" s="7" t="n"/>
      <c r="E36" s="15" t="inlineStr">
        <is>
          <t>NA</t>
        </is>
      </c>
      <c r="F36" s="15" t="inlineStr">
        <is>
          <t>NA</t>
        </is>
      </c>
      <c r="G36" s="4" t="n"/>
      <c r="H36" s="4" t="n"/>
      <c r="I36" s="4" t="n"/>
      <c r="J36" s="4" t="n"/>
      <c r="K36" s="9" t="n">
        <v>5</v>
      </c>
      <c r="L36" s="4" t="inlineStr">
        <is>
          <t>p</t>
        </is>
      </c>
      <c r="M36" s="4" t="inlineStr">
        <is>
          <t>p</t>
        </is>
      </c>
      <c r="N36" s="4" t="inlineStr">
        <is>
          <t>p</t>
        </is>
      </c>
      <c r="O36" s="4" t="inlineStr">
        <is>
          <t>p</t>
        </is>
      </c>
      <c r="P36" s="9" t="n">
        <v>5</v>
      </c>
      <c r="Q36" s="4" t="inlineStr">
        <is>
          <t>p</t>
        </is>
      </c>
      <c r="R36" s="4" t="inlineStr">
        <is>
          <t>p</t>
        </is>
      </c>
      <c r="S36" s="4" t="inlineStr">
        <is>
          <t>p</t>
        </is>
      </c>
      <c r="T36" s="4" t="inlineStr">
        <is>
          <t>p</t>
        </is>
      </c>
      <c r="U36" s="9" t="n">
        <v>5</v>
      </c>
      <c r="V36" s="4" t="inlineStr">
        <is>
          <t>a</t>
        </is>
      </c>
      <c r="W36" s="4" t="inlineStr">
        <is>
          <t>a</t>
        </is>
      </c>
      <c r="X36" s="4" t="inlineStr">
        <is>
          <t>a</t>
        </is>
      </c>
      <c r="Y36" s="4" t="inlineStr">
        <is>
          <t>a</t>
        </is>
      </c>
      <c r="Z36" s="9" t="n">
        <v>5</v>
      </c>
      <c r="AA36" s="10">
        <f>AVERAGE(K36,P36,U36,Z36)</f>
        <v/>
      </c>
      <c r="AB36" s="11">
        <f>COUNTIF(G36:Z36,"P")</f>
        <v/>
      </c>
      <c r="AC36" s="12">
        <f>COUNTIF(G36:Z36,"L")</f>
        <v/>
      </c>
      <c r="AD36" s="13">
        <f>COUNTIF(G36:Z36,"A")</f>
        <v/>
      </c>
      <c r="AE36" s="14">
        <f>AB36+AC36</f>
        <v/>
      </c>
      <c r="AF36" s="8">
        <f>AE36/16*10</f>
        <v/>
      </c>
      <c r="AG36" s="8">
        <f>AA36</f>
        <v/>
      </c>
      <c r="AH36" s="8" t="n"/>
      <c r="AI36" s="5" t="n"/>
    </row>
    <row r="37">
      <c r="A37" s="50" t="n"/>
      <c r="B37" s="4" t="n">
        <v>29</v>
      </c>
      <c r="C37" s="4" t="n"/>
      <c r="D37" s="7" t="n"/>
      <c r="E37" s="15" t="inlineStr">
        <is>
          <t>NA</t>
        </is>
      </c>
      <c r="F37" s="15" t="inlineStr">
        <is>
          <t>NA</t>
        </is>
      </c>
      <c r="G37" s="4" t="n"/>
      <c r="H37" s="4" t="n"/>
      <c r="I37" s="4" t="n"/>
      <c r="J37" s="4" t="n"/>
      <c r="K37" s="9" t="n">
        <v>0</v>
      </c>
      <c r="L37" s="4" t="n"/>
      <c r="M37" s="4" t="n"/>
      <c r="N37" s="4" t="n"/>
      <c r="O37" s="4" t="n"/>
      <c r="P37" s="9" t="n">
        <v>0</v>
      </c>
      <c r="Q37" s="4" t="n"/>
      <c r="R37" s="4" t="n"/>
      <c r="S37" s="4" t="n"/>
      <c r="T37" s="4" t="n"/>
      <c r="U37" s="9" t="n">
        <v>0</v>
      </c>
      <c r="V37" s="4" t="n"/>
      <c r="W37" s="4" t="n"/>
      <c r="X37" s="4" t="n"/>
      <c r="Y37" s="4" t="n"/>
      <c r="Z37" s="9" t="n">
        <v>0</v>
      </c>
      <c r="AA37" s="10">
        <f>AVERAGE(K37,P37,U37,Z37)</f>
        <v/>
      </c>
      <c r="AB37" s="11">
        <f>COUNTIF(G37:Z37,"P")</f>
        <v/>
      </c>
      <c r="AC37" s="12">
        <f>COUNTIF(G37:Z37,"L")</f>
        <v/>
      </c>
      <c r="AD37" s="13">
        <f>COUNTIF(G37:Z37,"A")</f>
        <v/>
      </c>
      <c r="AE37" s="14">
        <f>AB37+AC37</f>
        <v/>
      </c>
      <c r="AF37" s="8">
        <f>AE37/16*10</f>
        <v/>
      </c>
      <c r="AG37" s="8">
        <f>AA37</f>
        <v/>
      </c>
      <c r="AH37" s="8" t="n"/>
      <c r="AI37" s="5" t="n"/>
    </row>
    <row r="38">
      <c r="A38" s="50" t="n"/>
      <c r="B38" s="4" t="n">
        <v>30</v>
      </c>
      <c r="C38" s="4" t="n"/>
      <c r="D38" s="7" t="n"/>
      <c r="E38" s="15" t="inlineStr">
        <is>
          <t>NA</t>
        </is>
      </c>
      <c r="F38" s="15" t="inlineStr">
        <is>
          <t>NA</t>
        </is>
      </c>
      <c r="G38" s="4" t="n"/>
      <c r="H38" s="4" t="n"/>
      <c r="I38" s="4" t="n"/>
      <c r="J38" s="4" t="n"/>
      <c r="K38" s="9" t="n">
        <v>0</v>
      </c>
      <c r="L38" s="4" t="n"/>
      <c r="M38" s="4" t="n"/>
      <c r="N38" s="4" t="n"/>
      <c r="O38" s="4" t="n"/>
      <c r="P38" s="9" t="n">
        <v>0</v>
      </c>
      <c r="Q38" s="4" t="n"/>
      <c r="R38" s="4" t="n"/>
      <c r="S38" s="4" t="n"/>
      <c r="T38" s="4" t="n"/>
      <c r="U38" s="9" t="n">
        <v>0</v>
      </c>
      <c r="V38" s="4" t="n"/>
      <c r="W38" s="4" t="n"/>
      <c r="X38" s="4" t="n"/>
      <c r="Y38" s="4" t="n"/>
      <c r="Z38" s="9" t="n">
        <v>0</v>
      </c>
      <c r="AA38" s="10">
        <f>AVERAGE(K38,P38,U38,Z38)</f>
        <v/>
      </c>
      <c r="AB38" s="11">
        <f>COUNTIF(G38:Z38,"P")</f>
        <v/>
      </c>
      <c r="AC38" s="12">
        <f>COUNTIF(G38:Z38,"L")</f>
        <v/>
      </c>
      <c r="AD38" s="13">
        <f>COUNTIF(G38:Z38,"A")</f>
        <v/>
      </c>
      <c r="AE38" s="14">
        <f>AB38+AC38</f>
        <v/>
      </c>
      <c r="AF38" s="8">
        <f>AE38/16*10</f>
        <v/>
      </c>
      <c r="AG38" s="8">
        <f>AA38</f>
        <v/>
      </c>
      <c r="AH38" s="8" t="n"/>
      <c r="AI38" s="5" t="n"/>
    </row>
    <row r="39">
      <c r="A39" s="50" t="n"/>
      <c r="B39" s="4" t="n">
        <v>31</v>
      </c>
      <c r="C39" s="4" t="n"/>
      <c r="D39" s="7" t="n"/>
      <c r="E39" s="15" t="inlineStr">
        <is>
          <t>NA</t>
        </is>
      </c>
      <c r="F39" s="15" t="inlineStr">
        <is>
          <t>NA</t>
        </is>
      </c>
      <c r="G39" s="4" t="n"/>
      <c r="H39" s="4" t="n"/>
      <c r="I39" s="4" t="n"/>
      <c r="J39" s="4" t="n"/>
      <c r="K39" s="9" t="n">
        <v>0</v>
      </c>
      <c r="L39" s="4" t="n"/>
      <c r="M39" s="4" t="n"/>
      <c r="N39" s="4" t="n"/>
      <c r="O39" s="4" t="n"/>
      <c r="P39" s="9" t="n">
        <v>0</v>
      </c>
      <c r="Q39" s="4" t="n"/>
      <c r="R39" s="4" t="n"/>
      <c r="S39" s="4" t="n"/>
      <c r="T39" s="4" t="n"/>
      <c r="U39" s="9" t="n">
        <v>0</v>
      </c>
      <c r="V39" s="4" t="n"/>
      <c r="W39" s="4" t="n"/>
      <c r="X39" s="4" t="n"/>
      <c r="Y39" s="4" t="n"/>
      <c r="Z39" s="9" t="n">
        <v>0</v>
      </c>
      <c r="AA39" s="10">
        <f>AVERAGE(K39,P39,U39,Z39)</f>
        <v/>
      </c>
      <c r="AB39" s="11">
        <f>COUNTIF(G39:Z39,"P")</f>
        <v/>
      </c>
      <c r="AC39" s="12">
        <f>COUNTIF(G39:Z39,"L")</f>
        <v/>
      </c>
      <c r="AD39" s="13">
        <f>COUNTIF(G39:Z39,"A")</f>
        <v/>
      </c>
      <c r="AE39" s="14">
        <f>AB39+AC39</f>
        <v/>
      </c>
      <c r="AF39" s="8">
        <f>AE39/16*10</f>
        <v/>
      </c>
      <c r="AG39" s="8">
        <f>AA39</f>
        <v/>
      </c>
      <c r="AH39" s="8" t="n"/>
      <c r="AI39" s="5" t="n"/>
    </row>
    <row r="40">
      <c r="A40" s="50" t="n"/>
      <c r="B40" s="4" t="n">
        <v>32</v>
      </c>
      <c r="C40" s="4" t="n"/>
      <c r="D40" s="7" t="n"/>
      <c r="E40" s="15" t="inlineStr">
        <is>
          <t>NA</t>
        </is>
      </c>
      <c r="F40" s="15" t="inlineStr">
        <is>
          <t>NA</t>
        </is>
      </c>
      <c r="G40" s="4" t="n"/>
      <c r="H40" s="4" t="n"/>
      <c r="I40" s="4" t="n"/>
      <c r="J40" s="4" t="n"/>
      <c r="K40" s="9" t="n">
        <v>0</v>
      </c>
      <c r="L40" s="4" t="n"/>
      <c r="M40" s="4" t="n"/>
      <c r="N40" s="4" t="n"/>
      <c r="O40" s="4" t="n"/>
      <c r="P40" s="9" t="n">
        <v>0</v>
      </c>
      <c r="Q40" s="4" t="n"/>
      <c r="R40" s="4" t="n"/>
      <c r="S40" s="4" t="n"/>
      <c r="T40" s="4" t="n"/>
      <c r="U40" s="9" t="n">
        <v>0</v>
      </c>
      <c r="V40" s="4" t="n"/>
      <c r="W40" s="4" t="n"/>
      <c r="X40" s="4" t="n"/>
      <c r="Y40" s="4" t="n"/>
      <c r="Z40" s="9" t="n">
        <v>0</v>
      </c>
      <c r="AA40" s="10">
        <f>AVERAGE(K40,P40,U40,Z40)</f>
        <v/>
      </c>
      <c r="AB40" s="11">
        <f>COUNTIF(G40:Z40,"P")</f>
        <v/>
      </c>
      <c r="AC40" s="12">
        <f>COUNTIF(G40:Z40,"L")</f>
        <v/>
      </c>
      <c r="AD40" s="13">
        <f>COUNTIF(G40:Z40,"A")</f>
        <v/>
      </c>
      <c r="AE40" s="14">
        <f>AB40+AC40</f>
        <v/>
      </c>
      <c r="AF40" s="8">
        <f>AE40/16*10</f>
        <v/>
      </c>
      <c r="AG40" s="8">
        <f>AA40</f>
        <v/>
      </c>
      <c r="AH40" s="8" t="n"/>
      <c r="AI40" s="5" t="n"/>
    </row>
    <row r="41">
      <c r="A41" s="50" t="n"/>
      <c r="B41" s="4" t="n">
        <v>33</v>
      </c>
      <c r="C41" s="4" t="n"/>
      <c r="D41" s="7" t="n"/>
      <c r="E41" s="15" t="inlineStr">
        <is>
          <t>NA</t>
        </is>
      </c>
      <c r="F41" s="15" t="inlineStr">
        <is>
          <t>NA</t>
        </is>
      </c>
      <c r="G41" s="4" t="n"/>
      <c r="H41" s="4" t="n"/>
      <c r="I41" s="4" t="n"/>
      <c r="J41" s="4" t="n"/>
      <c r="K41" s="9" t="n">
        <v>0</v>
      </c>
      <c r="L41" s="4" t="n"/>
      <c r="M41" s="4" t="n"/>
      <c r="N41" s="4" t="n"/>
      <c r="O41" s="4" t="n"/>
      <c r="P41" s="9" t="n">
        <v>0</v>
      </c>
      <c r="Q41" s="4" t="n"/>
      <c r="R41" s="4" t="n"/>
      <c r="S41" s="4" t="n"/>
      <c r="T41" s="4" t="n"/>
      <c r="U41" s="9" t="n">
        <v>0</v>
      </c>
      <c r="V41" s="4" t="n"/>
      <c r="W41" s="4" t="n"/>
      <c r="X41" s="4" t="n"/>
      <c r="Y41" s="4" t="n"/>
      <c r="Z41" s="9" t="n">
        <v>0</v>
      </c>
      <c r="AA41" s="10">
        <f>AVERAGE(K41,P41,U41,Z41)</f>
        <v/>
      </c>
      <c r="AB41" s="11">
        <f>COUNTIF(G41:Z41,"P")</f>
        <v/>
      </c>
      <c r="AC41" s="12">
        <f>COUNTIF(G41:Z41,"L")</f>
        <v/>
      </c>
      <c r="AD41" s="13">
        <f>COUNTIF(G41:Z41,"A")</f>
        <v/>
      </c>
      <c r="AE41" s="14">
        <f>AB41+AC41</f>
        <v/>
      </c>
      <c r="AF41" s="8">
        <f>AE41/16*10</f>
        <v/>
      </c>
      <c r="AG41" s="8">
        <f>AA41</f>
        <v/>
      </c>
      <c r="AH41" s="8" t="n"/>
      <c r="AI41" s="5" t="n"/>
    </row>
    <row r="42">
      <c r="A42" s="50" t="n"/>
      <c r="B42" s="4" t="n">
        <v>34</v>
      </c>
      <c r="C42" s="4" t="n"/>
      <c r="D42" s="7" t="n"/>
      <c r="E42" s="15" t="inlineStr">
        <is>
          <t>NA</t>
        </is>
      </c>
      <c r="F42" s="15" t="inlineStr">
        <is>
          <t>NA</t>
        </is>
      </c>
      <c r="G42" s="4" t="n"/>
      <c r="H42" s="4" t="n"/>
      <c r="I42" s="4" t="n"/>
      <c r="J42" s="4" t="n"/>
      <c r="K42" s="9" t="n">
        <v>0</v>
      </c>
      <c r="L42" s="4" t="n"/>
      <c r="M42" s="4" t="n"/>
      <c r="N42" s="4" t="n"/>
      <c r="O42" s="4" t="n"/>
      <c r="P42" s="9" t="n">
        <v>0</v>
      </c>
      <c r="Q42" s="4" t="n"/>
      <c r="R42" s="4" t="n"/>
      <c r="S42" s="4" t="n"/>
      <c r="T42" s="4" t="n"/>
      <c r="U42" s="9" t="n">
        <v>0</v>
      </c>
      <c r="V42" s="4" t="n"/>
      <c r="W42" s="4" t="n"/>
      <c r="X42" s="4" t="n"/>
      <c r="Y42" s="4" t="n"/>
      <c r="Z42" s="9" t="n">
        <v>0</v>
      </c>
      <c r="AA42" s="10">
        <f>AVERAGE(K42,P42,U42,Z42)</f>
        <v/>
      </c>
      <c r="AB42" s="11">
        <f>COUNTIF(G42:Z42,"P")</f>
        <v/>
      </c>
      <c r="AC42" s="12">
        <f>COUNTIF(G42:Z42,"L")</f>
        <v/>
      </c>
      <c r="AD42" s="13">
        <f>COUNTIF(G42:Z42,"A")</f>
        <v/>
      </c>
      <c r="AE42" s="14">
        <f>AB42+AC42</f>
        <v/>
      </c>
      <c r="AF42" s="8">
        <f>AE42/16*10</f>
        <v/>
      </c>
      <c r="AG42" s="8">
        <f>AA42</f>
        <v/>
      </c>
      <c r="AH42" s="8" t="n"/>
      <c r="AI42" s="5" t="n"/>
    </row>
    <row r="43">
      <c r="A43" s="50" t="n"/>
      <c r="B43" s="4" t="n">
        <v>35</v>
      </c>
      <c r="C43" s="4" t="n"/>
      <c r="D43" s="7" t="n"/>
      <c r="E43" s="15" t="inlineStr">
        <is>
          <t>NA</t>
        </is>
      </c>
      <c r="F43" s="15" t="inlineStr">
        <is>
          <t>NA</t>
        </is>
      </c>
      <c r="G43" s="4" t="n"/>
      <c r="H43" s="4" t="n"/>
      <c r="I43" s="4" t="n"/>
      <c r="J43" s="4" t="n"/>
      <c r="K43" s="9" t="n">
        <v>0</v>
      </c>
      <c r="L43" s="4" t="n"/>
      <c r="M43" s="4" t="n"/>
      <c r="N43" s="4" t="n"/>
      <c r="O43" s="4" t="n"/>
      <c r="P43" s="9" t="n">
        <v>0</v>
      </c>
      <c r="Q43" s="4" t="n"/>
      <c r="R43" s="4" t="n"/>
      <c r="S43" s="4" t="n"/>
      <c r="T43" s="4" t="n"/>
      <c r="U43" s="9" t="n">
        <v>0</v>
      </c>
      <c r="V43" s="4" t="n"/>
      <c r="W43" s="4" t="n"/>
      <c r="X43" s="4" t="n"/>
      <c r="Y43" s="4" t="n"/>
      <c r="Z43" s="9" t="n">
        <v>0</v>
      </c>
      <c r="AA43" s="10">
        <f>AVERAGE(K43,P43,U43,Z43)</f>
        <v/>
      </c>
      <c r="AB43" s="11">
        <f>COUNTIF(G43:Z43,"P")</f>
        <v/>
      </c>
      <c r="AC43" s="12">
        <f>COUNTIF(G43:Z43,"L")</f>
        <v/>
      </c>
      <c r="AD43" s="13">
        <f>COUNTIF(G43:Z43,"A")</f>
        <v/>
      </c>
      <c r="AE43" s="14">
        <f>AB43+AC43</f>
        <v/>
      </c>
      <c r="AF43" s="8">
        <f>AE43/16*10</f>
        <v/>
      </c>
      <c r="AG43" s="8">
        <f>AA43</f>
        <v/>
      </c>
      <c r="AH43" s="8" t="n"/>
      <c r="AI43" s="5" t="n"/>
    </row>
    <row r="44">
      <c r="A44" s="50" t="n"/>
      <c r="B44" s="4" t="n">
        <v>36</v>
      </c>
      <c r="C44" s="4" t="n"/>
      <c r="D44" s="7" t="n"/>
      <c r="E44" s="15" t="inlineStr">
        <is>
          <t>NA</t>
        </is>
      </c>
      <c r="F44" s="15" t="inlineStr">
        <is>
          <t>NA</t>
        </is>
      </c>
      <c r="G44" s="4" t="n"/>
      <c r="H44" s="4" t="n"/>
      <c r="I44" s="4" t="n"/>
      <c r="J44" s="4" t="n"/>
      <c r="K44" s="9" t="n">
        <v>0</v>
      </c>
      <c r="L44" s="4" t="n"/>
      <c r="M44" s="4" t="n"/>
      <c r="N44" s="4" t="n"/>
      <c r="O44" s="4" t="n"/>
      <c r="P44" s="9" t="n">
        <v>0</v>
      </c>
      <c r="Q44" s="4" t="n"/>
      <c r="R44" s="4" t="n"/>
      <c r="S44" s="4" t="n"/>
      <c r="T44" s="4" t="n"/>
      <c r="U44" s="9" t="n">
        <v>0</v>
      </c>
      <c r="V44" s="4" t="n"/>
      <c r="W44" s="4" t="n"/>
      <c r="X44" s="4" t="n"/>
      <c r="Y44" s="4" t="n"/>
      <c r="Z44" s="9" t="n">
        <v>0</v>
      </c>
      <c r="AA44" s="10">
        <f>AVERAGE(K44,P44,U44,Z44)</f>
        <v/>
      </c>
      <c r="AB44" s="11">
        <f>COUNTIF(G44:Z44,"P")</f>
        <v/>
      </c>
      <c r="AC44" s="12">
        <f>COUNTIF(G44:Z44,"L")</f>
        <v/>
      </c>
      <c r="AD44" s="13">
        <f>COUNTIF(G44:Z44,"A")</f>
        <v/>
      </c>
      <c r="AE44" s="14">
        <f>AB44+AC44</f>
        <v/>
      </c>
      <c r="AF44" s="8">
        <f>AE44/16*10</f>
        <v/>
      </c>
      <c r="AG44" s="8">
        <f>AA44</f>
        <v/>
      </c>
      <c r="AH44" s="8" t="n"/>
      <c r="AI44" s="5" t="n"/>
    </row>
    <row r="45">
      <c r="A45" s="50" t="n"/>
      <c r="B45" s="4" t="n">
        <v>37</v>
      </c>
      <c r="C45" s="4" t="n"/>
      <c r="D45" s="7" t="n"/>
      <c r="E45" s="15" t="inlineStr">
        <is>
          <t>NA</t>
        </is>
      </c>
      <c r="F45" s="15" t="inlineStr">
        <is>
          <t>NA</t>
        </is>
      </c>
      <c r="G45" s="4" t="n"/>
      <c r="H45" s="4" t="n"/>
      <c r="I45" s="4" t="n"/>
      <c r="J45" s="4" t="n"/>
      <c r="K45" s="9" t="n">
        <v>0</v>
      </c>
      <c r="L45" s="4" t="n"/>
      <c r="M45" s="4" t="n"/>
      <c r="N45" s="4" t="n"/>
      <c r="O45" s="4" t="n"/>
      <c r="P45" s="9" t="n">
        <v>0</v>
      </c>
      <c r="Q45" s="4" t="n"/>
      <c r="R45" s="4" t="n"/>
      <c r="S45" s="4" t="n"/>
      <c r="T45" s="4" t="n"/>
      <c r="U45" s="9" t="n">
        <v>0</v>
      </c>
      <c r="V45" s="4" t="n"/>
      <c r="W45" s="4" t="n"/>
      <c r="X45" s="4" t="n"/>
      <c r="Y45" s="4" t="n"/>
      <c r="Z45" s="9" t="n">
        <v>0</v>
      </c>
      <c r="AA45" s="10">
        <f>AVERAGE(K45,P45,U45,Z45)</f>
        <v/>
      </c>
      <c r="AB45" s="11">
        <f>COUNTIF(G45:Z45,"P")</f>
        <v/>
      </c>
      <c r="AC45" s="12">
        <f>COUNTIF(G45:Z45,"L")</f>
        <v/>
      </c>
      <c r="AD45" s="13">
        <f>COUNTIF(G45:Z45,"A")</f>
        <v/>
      </c>
      <c r="AE45" s="14">
        <f>AB45+AC45</f>
        <v/>
      </c>
      <c r="AF45" s="8">
        <f>AE45/16*10</f>
        <v/>
      </c>
      <c r="AG45" s="8">
        <f>AA45</f>
        <v/>
      </c>
      <c r="AH45" s="8" t="n"/>
      <c r="AI45" s="5" t="n"/>
    </row>
    <row r="46">
      <c r="A46" s="50" t="n"/>
      <c r="B46" s="4" t="n">
        <v>38</v>
      </c>
      <c r="C46" s="4" t="n"/>
      <c r="D46" s="7" t="n"/>
      <c r="E46" s="15" t="inlineStr">
        <is>
          <t>NA</t>
        </is>
      </c>
      <c r="F46" s="15" t="inlineStr">
        <is>
          <t>NA</t>
        </is>
      </c>
      <c r="G46" s="4" t="n"/>
      <c r="H46" s="4" t="n"/>
      <c r="I46" s="4" t="n"/>
      <c r="J46" s="4" t="n"/>
      <c r="K46" s="9" t="n">
        <v>0</v>
      </c>
      <c r="L46" s="4" t="n"/>
      <c r="M46" s="4" t="n"/>
      <c r="N46" s="4" t="n"/>
      <c r="O46" s="4" t="n"/>
      <c r="P46" s="9" t="n">
        <v>0</v>
      </c>
      <c r="Q46" s="4" t="n"/>
      <c r="R46" s="4" t="n"/>
      <c r="S46" s="4" t="n"/>
      <c r="T46" s="4" t="n"/>
      <c r="U46" s="9" t="n">
        <v>0</v>
      </c>
      <c r="V46" s="4" t="n"/>
      <c r="W46" s="4" t="n"/>
      <c r="X46" s="4" t="n"/>
      <c r="Y46" s="4" t="n"/>
      <c r="Z46" s="9" t="n">
        <v>0</v>
      </c>
      <c r="AA46" s="10">
        <f>AVERAGE(K46,P46,U46,Z46)</f>
        <v/>
      </c>
      <c r="AB46" s="11">
        <f>COUNTIF(G46:Z46,"P")</f>
        <v/>
      </c>
      <c r="AC46" s="12">
        <f>COUNTIF(G46:Z46,"L")</f>
        <v/>
      </c>
      <c r="AD46" s="13">
        <f>COUNTIF(G46:Z46,"A")</f>
        <v/>
      </c>
      <c r="AE46" s="14">
        <f>AB46+AC46</f>
        <v/>
      </c>
      <c r="AF46" s="8">
        <f>AE46/16*10</f>
        <v/>
      </c>
      <c r="AG46" s="8">
        <f>AA46</f>
        <v/>
      </c>
      <c r="AH46" s="8" t="n"/>
      <c r="AI46" s="5" t="n"/>
    </row>
    <row r="47">
      <c r="A47" s="50" t="n"/>
      <c r="B47" s="4" t="n">
        <v>39</v>
      </c>
      <c r="C47" s="4" t="n"/>
      <c r="D47" s="7" t="n"/>
      <c r="E47" s="15" t="inlineStr">
        <is>
          <t>NA</t>
        </is>
      </c>
      <c r="F47" s="15" t="inlineStr">
        <is>
          <t>NA</t>
        </is>
      </c>
      <c r="G47" s="4" t="n"/>
      <c r="H47" s="4" t="n"/>
      <c r="I47" s="4" t="n"/>
      <c r="J47" s="4" t="n"/>
      <c r="K47" s="9" t="n">
        <v>0</v>
      </c>
      <c r="L47" s="4" t="n"/>
      <c r="M47" s="4" t="n"/>
      <c r="N47" s="4" t="n"/>
      <c r="O47" s="4" t="n"/>
      <c r="P47" s="9" t="n">
        <v>0</v>
      </c>
      <c r="Q47" s="4" t="n"/>
      <c r="R47" s="4" t="n"/>
      <c r="S47" s="4" t="n"/>
      <c r="T47" s="4" t="n"/>
      <c r="U47" s="9" t="n">
        <v>0</v>
      </c>
      <c r="V47" s="4" t="n"/>
      <c r="W47" s="4" t="n"/>
      <c r="X47" s="4" t="n"/>
      <c r="Y47" s="4" t="n"/>
      <c r="Z47" s="9" t="n">
        <v>0</v>
      </c>
      <c r="AA47" s="10">
        <f>AVERAGE(K47,P47,U47,Z47)</f>
        <v/>
      </c>
      <c r="AB47" s="11">
        <f>COUNTIF(G47:Z47,"P")</f>
        <v/>
      </c>
      <c r="AC47" s="12">
        <f>COUNTIF(G47:Z47,"L")</f>
        <v/>
      </c>
      <c r="AD47" s="13">
        <f>COUNTIF(G47:Z47,"A")</f>
        <v/>
      </c>
      <c r="AE47" s="14">
        <f>AB47+AC47</f>
        <v/>
      </c>
      <c r="AF47" s="8">
        <f>AE47/16*10</f>
        <v/>
      </c>
      <c r="AG47" s="8">
        <f>AA47</f>
        <v/>
      </c>
      <c r="AH47" s="8" t="n"/>
      <c r="AI47" s="5" t="n"/>
    </row>
    <row r="48">
      <c r="A48" s="50" t="n"/>
      <c r="B48" s="4" t="n">
        <v>40</v>
      </c>
      <c r="C48" s="4" t="n"/>
      <c r="D48" s="7" t="n"/>
      <c r="E48" s="15" t="inlineStr">
        <is>
          <t>NA</t>
        </is>
      </c>
      <c r="F48" s="15" t="inlineStr">
        <is>
          <t>NA</t>
        </is>
      </c>
      <c r="G48" s="4" t="n"/>
      <c r="H48" s="4" t="n"/>
      <c r="I48" s="4" t="n"/>
      <c r="J48" s="4" t="n"/>
      <c r="K48" s="9" t="n">
        <v>0</v>
      </c>
      <c r="L48" s="4" t="n"/>
      <c r="M48" s="4" t="n"/>
      <c r="N48" s="4" t="n"/>
      <c r="O48" s="4" t="n"/>
      <c r="P48" s="9" t="n">
        <v>0</v>
      </c>
      <c r="Q48" s="4" t="n"/>
      <c r="R48" s="4" t="n"/>
      <c r="S48" s="4" t="n"/>
      <c r="T48" s="4" t="n"/>
      <c r="U48" s="9" t="n">
        <v>0</v>
      </c>
      <c r="V48" s="4" t="n"/>
      <c r="W48" s="4" t="n"/>
      <c r="X48" s="4" t="n"/>
      <c r="Y48" s="4" t="n"/>
      <c r="Z48" s="9" t="n">
        <v>0</v>
      </c>
      <c r="AA48" s="10">
        <f>AVERAGE(K48,P48,U48,Z48)</f>
        <v/>
      </c>
      <c r="AB48" s="11">
        <f>COUNTIF(G48:Z48,"P")</f>
        <v/>
      </c>
      <c r="AC48" s="12">
        <f>COUNTIF(G48:Z48,"L")</f>
        <v/>
      </c>
      <c r="AD48" s="13">
        <f>COUNTIF(G48:Z48,"A")</f>
        <v/>
      </c>
      <c r="AE48" s="14">
        <f>AB48+AC48</f>
        <v/>
      </c>
      <c r="AF48" s="8">
        <f>AE48/16*10</f>
        <v/>
      </c>
      <c r="AG48" s="8">
        <f>AA48</f>
        <v/>
      </c>
      <c r="AH48" s="8" t="n"/>
      <c r="AI48" s="5" t="n"/>
    </row>
    <row r="49">
      <c r="A49" s="50" t="n"/>
      <c r="B49" s="4" t="n">
        <v>41</v>
      </c>
      <c r="C49" s="4" t="n"/>
      <c r="D49" s="7" t="n"/>
      <c r="E49" s="15" t="inlineStr">
        <is>
          <t>NA</t>
        </is>
      </c>
      <c r="F49" s="15" t="inlineStr">
        <is>
          <t>NA</t>
        </is>
      </c>
      <c r="G49" s="4" t="n"/>
      <c r="H49" s="4" t="n"/>
      <c r="I49" s="4" t="n"/>
      <c r="J49" s="4" t="n"/>
      <c r="K49" s="9" t="n">
        <v>0</v>
      </c>
      <c r="L49" s="4" t="n"/>
      <c r="M49" s="4" t="n"/>
      <c r="N49" s="4" t="n"/>
      <c r="O49" s="4" t="n"/>
      <c r="P49" s="9" t="n">
        <v>0</v>
      </c>
      <c r="Q49" s="4" t="n"/>
      <c r="R49" s="4" t="n"/>
      <c r="S49" s="4" t="n"/>
      <c r="T49" s="4" t="n"/>
      <c r="U49" s="9" t="n">
        <v>0</v>
      </c>
      <c r="V49" s="4" t="n"/>
      <c r="W49" s="4" t="n"/>
      <c r="X49" s="4" t="n"/>
      <c r="Y49" s="4" t="n"/>
      <c r="Z49" s="9" t="n">
        <v>0</v>
      </c>
      <c r="AA49" s="10">
        <f>AVERAGE(K49,P49,U49,Z49)</f>
        <v/>
      </c>
      <c r="AB49" s="11">
        <f>COUNTIF(G49:Z49,"P")</f>
        <v/>
      </c>
      <c r="AC49" s="12">
        <f>COUNTIF(G49:Z49,"L")</f>
        <v/>
      </c>
      <c r="AD49" s="13">
        <f>COUNTIF(G49:Z49,"A")</f>
        <v/>
      </c>
      <c r="AE49" s="14">
        <f>AB49+AC49</f>
        <v/>
      </c>
      <c r="AF49" s="8">
        <f>AE49/16*10</f>
        <v/>
      </c>
      <c r="AG49" s="8">
        <f>AA49</f>
        <v/>
      </c>
      <c r="AH49" s="8" t="n"/>
      <c r="AI49" s="5" t="n"/>
    </row>
    <row r="50">
      <c r="A50" s="50" t="n"/>
      <c r="B50" s="4" t="n">
        <v>42</v>
      </c>
      <c r="C50" s="4" t="n"/>
      <c r="D50" s="7" t="n"/>
      <c r="E50" s="15" t="inlineStr">
        <is>
          <t>NA</t>
        </is>
      </c>
      <c r="F50" s="15" t="inlineStr">
        <is>
          <t>NA</t>
        </is>
      </c>
      <c r="G50" s="4" t="n"/>
      <c r="H50" s="4" t="n"/>
      <c r="I50" s="4" t="n"/>
      <c r="J50" s="4" t="n"/>
      <c r="K50" s="9" t="n">
        <v>0</v>
      </c>
      <c r="L50" s="4" t="n"/>
      <c r="M50" s="4" t="n"/>
      <c r="N50" s="4" t="n"/>
      <c r="O50" s="4" t="n"/>
      <c r="P50" s="9" t="n">
        <v>0</v>
      </c>
      <c r="Q50" s="4" t="n"/>
      <c r="R50" s="4" t="n"/>
      <c r="S50" s="4" t="n"/>
      <c r="T50" s="4" t="n"/>
      <c r="U50" s="9" t="n">
        <v>0</v>
      </c>
      <c r="V50" s="4" t="n"/>
      <c r="W50" s="4" t="n"/>
      <c r="X50" s="4" t="n"/>
      <c r="Y50" s="4" t="n"/>
      <c r="Z50" s="9" t="n">
        <v>0</v>
      </c>
      <c r="AA50" s="10">
        <f>AVERAGE(K50,P50,U50,Z50)</f>
        <v/>
      </c>
      <c r="AB50" s="11">
        <f>COUNTIF(G50:Z50,"P")</f>
        <v/>
      </c>
      <c r="AC50" s="12">
        <f>COUNTIF(G50:Z50,"L")</f>
        <v/>
      </c>
      <c r="AD50" s="13">
        <f>COUNTIF(G50:Z50,"A")</f>
        <v/>
      </c>
      <c r="AE50" s="14">
        <f>AB50+AC50</f>
        <v/>
      </c>
      <c r="AF50" s="8">
        <f>AE50/16*10</f>
        <v/>
      </c>
      <c r="AG50" s="8">
        <f>AA50</f>
        <v/>
      </c>
      <c r="AH50" s="8" t="n"/>
      <c r="AI50" s="5" t="n"/>
    </row>
    <row r="51">
      <c r="A51" s="50" t="n"/>
      <c r="B51" s="4" t="n">
        <v>43</v>
      </c>
      <c r="C51" s="4" t="n"/>
      <c r="D51" s="7" t="n"/>
      <c r="E51" s="15" t="inlineStr">
        <is>
          <t>NA</t>
        </is>
      </c>
      <c r="F51" s="15" t="inlineStr">
        <is>
          <t>NA</t>
        </is>
      </c>
      <c r="G51" s="4" t="n"/>
      <c r="H51" s="4" t="n"/>
      <c r="I51" s="4" t="n"/>
      <c r="J51" s="4" t="n"/>
      <c r="K51" s="9" t="n">
        <v>0</v>
      </c>
      <c r="L51" s="4" t="n"/>
      <c r="M51" s="4" t="n"/>
      <c r="N51" s="4" t="n"/>
      <c r="O51" s="4" t="n"/>
      <c r="P51" s="9" t="n">
        <v>0</v>
      </c>
      <c r="Q51" s="4" t="n"/>
      <c r="R51" s="4" t="n"/>
      <c r="S51" s="4" t="n"/>
      <c r="T51" s="4" t="n"/>
      <c r="U51" s="9" t="n">
        <v>0</v>
      </c>
      <c r="V51" s="4" t="n"/>
      <c r="W51" s="4" t="n"/>
      <c r="X51" s="4" t="n"/>
      <c r="Y51" s="4" t="n"/>
      <c r="Z51" s="9" t="n">
        <v>0</v>
      </c>
      <c r="AA51" s="10">
        <f>AVERAGE(K51,P51,U51,Z51)</f>
        <v/>
      </c>
      <c r="AB51" s="11">
        <f>COUNTIF(G51:Z51,"P")</f>
        <v/>
      </c>
      <c r="AC51" s="12">
        <f>COUNTIF(G51:Z51,"L")</f>
        <v/>
      </c>
      <c r="AD51" s="13">
        <f>COUNTIF(G51:Z51,"A")</f>
        <v/>
      </c>
      <c r="AE51" s="14">
        <f>AB51+AC51</f>
        <v/>
      </c>
      <c r="AF51" s="8">
        <f>AE51/16*10</f>
        <v/>
      </c>
      <c r="AG51" s="8">
        <f>AA51</f>
        <v/>
      </c>
      <c r="AH51" s="8" t="n"/>
      <c r="AI51" s="5" t="n"/>
    </row>
    <row r="52">
      <c r="A52" s="50" t="n"/>
      <c r="B52" s="4" t="n">
        <v>44</v>
      </c>
      <c r="C52" s="4" t="n"/>
      <c r="D52" s="7" t="n"/>
      <c r="E52" s="15" t="inlineStr">
        <is>
          <t>NA</t>
        </is>
      </c>
      <c r="F52" s="15" t="inlineStr">
        <is>
          <t>NA</t>
        </is>
      </c>
      <c r="G52" s="4" t="n"/>
      <c r="H52" s="4" t="n"/>
      <c r="I52" s="4" t="n"/>
      <c r="J52" s="4" t="n"/>
      <c r="K52" s="9" t="n">
        <v>0</v>
      </c>
      <c r="L52" s="4" t="n"/>
      <c r="M52" s="4" t="n"/>
      <c r="N52" s="4" t="n"/>
      <c r="O52" s="4" t="n"/>
      <c r="P52" s="9" t="n">
        <v>0</v>
      </c>
      <c r="Q52" s="4" t="n"/>
      <c r="R52" s="4" t="n"/>
      <c r="S52" s="4" t="n"/>
      <c r="T52" s="4" t="n"/>
      <c r="U52" s="9" t="n">
        <v>0</v>
      </c>
      <c r="V52" s="4" t="n"/>
      <c r="W52" s="4" t="n"/>
      <c r="X52" s="4" t="n"/>
      <c r="Y52" s="4" t="n"/>
      <c r="Z52" s="9" t="n">
        <v>0</v>
      </c>
      <c r="AA52" s="10">
        <f>AVERAGE(K52,P52,U52,Z52)</f>
        <v/>
      </c>
      <c r="AB52" s="11">
        <f>COUNTIF(G52:Z52,"P")</f>
        <v/>
      </c>
      <c r="AC52" s="12">
        <f>COUNTIF(G52:Z52,"L")</f>
        <v/>
      </c>
      <c r="AD52" s="13">
        <f>COUNTIF(G52:Z52,"A")</f>
        <v/>
      </c>
      <c r="AE52" s="14">
        <f>AB52+AC52</f>
        <v/>
      </c>
      <c r="AF52" s="8">
        <f>AE52/16*10</f>
        <v/>
      </c>
      <c r="AG52" s="8">
        <f>AA52</f>
        <v/>
      </c>
      <c r="AH52" s="8" t="n"/>
      <c r="AI52" s="5" t="n"/>
    </row>
    <row r="53">
      <c r="A53" s="50" t="n"/>
      <c r="B53" s="4" t="n">
        <v>45</v>
      </c>
      <c r="C53" s="4" t="n"/>
      <c r="D53" s="7" t="n"/>
      <c r="E53" s="15" t="inlineStr">
        <is>
          <t>NA</t>
        </is>
      </c>
      <c r="F53" s="15" t="inlineStr">
        <is>
          <t>NA</t>
        </is>
      </c>
      <c r="G53" s="4" t="n"/>
      <c r="H53" s="4" t="n"/>
      <c r="I53" s="4" t="n"/>
      <c r="J53" s="4" t="n"/>
      <c r="K53" s="9" t="n">
        <v>0</v>
      </c>
      <c r="L53" s="4" t="n"/>
      <c r="M53" s="4" t="n"/>
      <c r="N53" s="4" t="n"/>
      <c r="O53" s="4" t="n"/>
      <c r="P53" s="9" t="n">
        <v>0</v>
      </c>
      <c r="Q53" s="4" t="n"/>
      <c r="R53" s="4" t="n"/>
      <c r="S53" s="4" t="n"/>
      <c r="T53" s="4" t="n"/>
      <c r="U53" s="9" t="n">
        <v>0</v>
      </c>
      <c r="V53" s="4" t="n"/>
      <c r="W53" s="4" t="n"/>
      <c r="X53" s="4" t="n"/>
      <c r="Y53" s="4" t="n"/>
      <c r="Z53" s="9" t="n">
        <v>0</v>
      </c>
      <c r="AA53" s="10">
        <f>AVERAGE(K53,P53,U53,Z53)</f>
        <v/>
      </c>
      <c r="AB53" s="11">
        <f>COUNTIF(G53:Z53,"P")</f>
        <v/>
      </c>
      <c r="AC53" s="12">
        <f>COUNTIF(G53:Z53,"L")</f>
        <v/>
      </c>
      <c r="AD53" s="13">
        <f>COUNTIF(G53:Z53,"A")</f>
        <v/>
      </c>
      <c r="AE53" s="14">
        <f>AB53+AC53</f>
        <v/>
      </c>
      <c r="AF53" s="8">
        <f>AE53/16*10</f>
        <v/>
      </c>
      <c r="AG53" s="8">
        <f>AA53</f>
        <v/>
      </c>
      <c r="AH53" s="8" t="n"/>
      <c r="AI53" s="5" t="n"/>
    </row>
    <row r="54">
      <c r="A54" s="50" t="n"/>
      <c r="B54" s="4" t="n">
        <v>46</v>
      </c>
      <c r="C54" s="4" t="n"/>
      <c r="D54" s="7" t="n"/>
      <c r="E54" s="15" t="inlineStr">
        <is>
          <t>NA</t>
        </is>
      </c>
      <c r="F54" s="15" t="inlineStr">
        <is>
          <t>NA</t>
        </is>
      </c>
      <c r="G54" s="4" t="n"/>
      <c r="H54" s="4" t="n"/>
      <c r="I54" s="4" t="n"/>
      <c r="J54" s="4" t="n"/>
      <c r="K54" s="9" t="n">
        <v>0</v>
      </c>
      <c r="L54" s="4" t="n"/>
      <c r="M54" s="4" t="n"/>
      <c r="N54" s="4" t="n"/>
      <c r="O54" s="4" t="n"/>
      <c r="P54" s="9" t="n">
        <v>0</v>
      </c>
      <c r="Q54" s="4" t="n"/>
      <c r="R54" s="4" t="n"/>
      <c r="S54" s="4" t="n"/>
      <c r="T54" s="4" t="n"/>
      <c r="U54" s="9" t="n">
        <v>0</v>
      </c>
      <c r="V54" s="4" t="n"/>
      <c r="W54" s="4" t="n"/>
      <c r="X54" s="4" t="n"/>
      <c r="Y54" s="4" t="n"/>
      <c r="Z54" s="9" t="n">
        <v>0</v>
      </c>
      <c r="AA54" s="10">
        <f>AVERAGE(K54,P54,U54,Z54)</f>
        <v/>
      </c>
      <c r="AB54" s="11">
        <f>COUNTIF(G54:Z54,"P")</f>
        <v/>
      </c>
      <c r="AC54" s="12">
        <f>COUNTIF(G54:Z54,"L")</f>
        <v/>
      </c>
      <c r="AD54" s="13">
        <f>COUNTIF(G54:Z54,"A")</f>
        <v/>
      </c>
      <c r="AE54" s="14">
        <f>AB54+AC54</f>
        <v/>
      </c>
      <c r="AF54" s="8">
        <f>AE54/16*10</f>
        <v/>
      </c>
      <c r="AG54" s="8">
        <f>AA54</f>
        <v/>
      </c>
      <c r="AH54" s="8" t="n"/>
      <c r="AI54" s="5" t="n"/>
    </row>
    <row r="55">
      <c r="A55" s="50" t="n"/>
      <c r="B55" s="4" t="n">
        <v>47</v>
      </c>
      <c r="C55" s="4" t="n"/>
      <c r="D55" s="7" t="n"/>
      <c r="E55" s="15" t="inlineStr">
        <is>
          <t>NA</t>
        </is>
      </c>
      <c r="F55" s="15" t="inlineStr">
        <is>
          <t>NA</t>
        </is>
      </c>
      <c r="G55" s="4" t="n"/>
      <c r="H55" s="4" t="n"/>
      <c r="I55" s="4" t="n"/>
      <c r="J55" s="4" t="n"/>
      <c r="K55" s="9" t="n">
        <v>0</v>
      </c>
      <c r="L55" s="4" t="n"/>
      <c r="M55" s="4" t="n"/>
      <c r="N55" s="4" t="n"/>
      <c r="O55" s="4" t="n"/>
      <c r="P55" s="9" t="n">
        <v>0</v>
      </c>
      <c r="Q55" s="4" t="n"/>
      <c r="R55" s="4" t="n"/>
      <c r="S55" s="4" t="n"/>
      <c r="T55" s="4" t="n"/>
      <c r="U55" s="9" t="n">
        <v>0</v>
      </c>
      <c r="V55" s="4" t="n"/>
      <c r="W55" s="4" t="n"/>
      <c r="X55" s="4" t="n"/>
      <c r="Y55" s="4" t="n"/>
      <c r="Z55" s="9" t="n">
        <v>0</v>
      </c>
      <c r="AA55" s="10">
        <f>AVERAGE(K55,P55,U55,Z55)</f>
        <v/>
      </c>
      <c r="AB55" s="11">
        <f>COUNTIF(G55:Z55,"P")</f>
        <v/>
      </c>
      <c r="AC55" s="12">
        <f>COUNTIF(G55:Z55,"L")</f>
        <v/>
      </c>
      <c r="AD55" s="13">
        <f>COUNTIF(G55:Z55,"A")</f>
        <v/>
      </c>
      <c r="AE55" s="14">
        <f>AB55+AC55</f>
        <v/>
      </c>
      <c r="AF55" s="8">
        <f>AE55/16*10</f>
        <v/>
      </c>
      <c r="AG55" s="8">
        <f>AA55</f>
        <v/>
      </c>
      <c r="AH55" s="8" t="n"/>
      <c r="AI55" s="5" t="n"/>
    </row>
    <row r="56">
      <c r="A56" s="50" t="n"/>
      <c r="B56" s="4" t="n">
        <v>48</v>
      </c>
      <c r="C56" s="4" t="n"/>
      <c r="D56" s="7" t="n"/>
      <c r="E56" s="15" t="inlineStr">
        <is>
          <t>NA</t>
        </is>
      </c>
      <c r="F56" s="15" t="inlineStr">
        <is>
          <t>NA</t>
        </is>
      </c>
      <c r="G56" s="4" t="n"/>
      <c r="H56" s="4" t="n"/>
      <c r="I56" s="4" t="n"/>
      <c r="J56" s="4" t="n"/>
      <c r="K56" s="9" t="n">
        <v>0</v>
      </c>
      <c r="L56" s="4" t="n"/>
      <c r="M56" s="4" t="n"/>
      <c r="N56" s="4" t="n"/>
      <c r="O56" s="4" t="n"/>
      <c r="P56" s="9" t="n">
        <v>0</v>
      </c>
      <c r="Q56" s="4" t="n"/>
      <c r="R56" s="4" t="n"/>
      <c r="S56" s="4" t="n"/>
      <c r="T56" s="4" t="n"/>
      <c r="U56" s="9" t="n">
        <v>0</v>
      </c>
      <c r="V56" s="4" t="n"/>
      <c r="W56" s="4" t="n"/>
      <c r="X56" s="4" t="n"/>
      <c r="Y56" s="4" t="n"/>
      <c r="Z56" s="9" t="n">
        <v>0</v>
      </c>
      <c r="AA56" s="10">
        <f>AVERAGE(K56,P56,U56,Z56)</f>
        <v/>
      </c>
      <c r="AB56" s="11">
        <f>COUNTIF(G56:Z56,"P")</f>
        <v/>
      </c>
      <c r="AC56" s="12">
        <f>COUNTIF(G56:Z56,"L")</f>
        <v/>
      </c>
      <c r="AD56" s="13">
        <f>COUNTIF(G56:Z56,"A")</f>
        <v/>
      </c>
      <c r="AE56" s="14">
        <f>AB56+AC56</f>
        <v/>
      </c>
      <c r="AF56" s="8">
        <f>AE56/16*10</f>
        <v/>
      </c>
      <c r="AG56" s="8">
        <f>AA56</f>
        <v/>
      </c>
      <c r="AH56" s="8" t="n"/>
      <c r="AI56" s="5" t="n"/>
    </row>
    <row r="57">
      <c r="A57" s="50" t="n"/>
      <c r="B57" s="4" t="n">
        <v>49</v>
      </c>
      <c r="C57" s="4" t="n"/>
      <c r="D57" s="7" t="n"/>
      <c r="E57" s="15" t="inlineStr">
        <is>
          <t>NA</t>
        </is>
      </c>
      <c r="F57" s="15" t="inlineStr">
        <is>
          <t>NA</t>
        </is>
      </c>
      <c r="G57" s="4" t="n"/>
      <c r="H57" s="4" t="n"/>
      <c r="I57" s="4" t="n"/>
      <c r="J57" s="4" t="n"/>
      <c r="K57" s="9" t="n">
        <v>0</v>
      </c>
      <c r="L57" s="4" t="n"/>
      <c r="M57" s="4" t="n"/>
      <c r="N57" s="4" t="n"/>
      <c r="O57" s="4" t="n"/>
      <c r="P57" s="9" t="n">
        <v>0</v>
      </c>
      <c r="Q57" s="4" t="n"/>
      <c r="R57" s="4" t="n"/>
      <c r="S57" s="4" t="n"/>
      <c r="T57" s="4" t="n"/>
      <c r="U57" s="9" t="n">
        <v>0</v>
      </c>
      <c r="V57" s="4" t="n"/>
      <c r="W57" s="4" t="n"/>
      <c r="X57" s="4" t="n"/>
      <c r="Y57" s="4" t="n"/>
      <c r="Z57" s="9" t="n">
        <v>0</v>
      </c>
      <c r="AA57" s="10">
        <f>AVERAGE(K57,P57,U57,Z57)</f>
        <v/>
      </c>
      <c r="AB57" s="11">
        <f>COUNTIF(G57:Z57,"P")</f>
        <v/>
      </c>
      <c r="AC57" s="12">
        <f>COUNTIF(G57:Z57,"L")</f>
        <v/>
      </c>
      <c r="AD57" s="13">
        <f>COUNTIF(G57:Z57,"A")</f>
        <v/>
      </c>
      <c r="AE57" s="14">
        <f>AB57+AC57</f>
        <v/>
      </c>
      <c r="AF57" s="8">
        <f>AE57/16*10</f>
        <v/>
      </c>
      <c r="AG57" s="8">
        <f>AA57</f>
        <v/>
      </c>
      <c r="AH57" s="8" t="n"/>
      <c r="AI57" s="5" t="n"/>
    </row>
    <row r="58">
      <c r="A58" s="50" t="n"/>
      <c r="B58" s="4" t="n">
        <v>50</v>
      </c>
      <c r="C58" s="4" t="n"/>
      <c r="D58" s="7" t="n"/>
      <c r="E58" s="15" t="inlineStr">
        <is>
          <t>NA</t>
        </is>
      </c>
      <c r="F58" s="15" t="inlineStr">
        <is>
          <t>NA</t>
        </is>
      </c>
      <c r="G58" s="4" t="n"/>
      <c r="H58" s="4" t="n"/>
      <c r="I58" s="4" t="n"/>
      <c r="J58" s="4" t="n"/>
      <c r="K58" s="9" t="n">
        <v>0</v>
      </c>
      <c r="L58" s="4" t="n"/>
      <c r="M58" s="4" t="n"/>
      <c r="N58" s="4" t="n"/>
      <c r="O58" s="4" t="n"/>
      <c r="P58" s="9" t="n">
        <v>0</v>
      </c>
      <c r="Q58" s="4" t="n"/>
      <c r="R58" s="4" t="n"/>
      <c r="S58" s="4" t="n"/>
      <c r="T58" s="4" t="n"/>
      <c r="U58" s="9" t="n">
        <v>0</v>
      </c>
      <c r="V58" s="4" t="n"/>
      <c r="W58" s="4" t="n"/>
      <c r="X58" s="4" t="n"/>
      <c r="Y58" s="4" t="n"/>
      <c r="Z58" s="9" t="n">
        <v>0</v>
      </c>
      <c r="AA58" s="10">
        <f>AVERAGE(K58,P58,U58,Z58)</f>
        <v/>
      </c>
      <c r="AB58" s="11">
        <f>COUNTIF(G58:Z58,"P")</f>
        <v/>
      </c>
      <c r="AC58" s="12">
        <f>COUNTIF(G58:Z58,"L")</f>
        <v/>
      </c>
      <c r="AD58" s="13">
        <f>COUNTIF(G58:Z58,"A")</f>
        <v/>
      </c>
      <c r="AE58" s="14">
        <f>AB58+AC58</f>
        <v/>
      </c>
      <c r="AF58" s="8">
        <f>AE58/16*10</f>
        <v/>
      </c>
      <c r="AG58" s="8">
        <f>AA58</f>
        <v/>
      </c>
      <c r="AH58" s="8" t="n"/>
      <c r="AI58" s="5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  <c r="AH59" s="50" t="n"/>
      <c r="AI59" s="50" t="n"/>
    </row>
  </sheetData>
  <mergeCells count="23">
    <mergeCell ref="Q7:R7"/>
    <mergeCell ref="L7:M7"/>
    <mergeCell ref="N7:O7"/>
    <mergeCell ref="A3:C3"/>
    <mergeCell ref="V8:W8"/>
    <mergeCell ref="G8:H8"/>
    <mergeCell ref="X8:Y8"/>
    <mergeCell ref="E8:F8"/>
    <mergeCell ref="A2:C2"/>
    <mergeCell ref="Q8:R8"/>
    <mergeCell ref="S8:T8"/>
    <mergeCell ref="X7:Y7"/>
    <mergeCell ref="A5:C5"/>
    <mergeCell ref="G7:H7"/>
    <mergeCell ref="S7:T7"/>
    <mergeCell ref="I7:J7"/>
    <mergeCell ref="A4:C4"/>
    <mergeCell ref="L8:M8"/>
    <mergeCell ref="N8:O8"/>
    <mergeCell ref="I8:J8"/>
    <mergeCell ref="V7:W7"/>
    <mergeCell ref="E7:F7"/>
    <mergeCell ref="A6:C6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ColWidth="9.140625" defaultRowHeight="15"/>
  <cols>
    <col width="3.7109375" customWidth="1" style="1" min="1" max="1"/>
    <col width="4.85546875" customWidth="1" style="2" min="2" max="2"/>
    <col width="9.42578125" customWidth="1" style="2" min="3" max="3"/>
    <col width="22" customWidth="1" style="1" min="4" max="5"/>
    <col width="16" bestFit="1" customWidth="1" style="1" min="6" max="6"/>
    <col width="22.42578125" customWidth="1" style="1" min="7" max="7"/>
    <col width="21" bestFit="1" customWidth="1" style="1" min="8" max="8"/>
    <col width="9.140625" customWidth="1" style="1" min="9" max="16384"/>
  </cols>
  <sheetData>
    <row r="1" ht="21.75" customHeight="1">
      <c r="A1" s="26" t="n"/>
      <c r="B1" s="53" t="n"/>
      <c r="C1" s="93" t="inlineStr">
        <is>
          <t>Section:</t>
        </is>
      </c>
      <c r="D1" s="55" t="inlineStr">
        <is>
          <t>4B</t>
        </is>
      </c>
      <c r="E1" s="58" t="inlineStr">
        <is>
          <t>Marks Recording Sheet</t>
        </is>
      </c>
      <c r="F1" s="32" t="n"/>
      <c r="G1" s="32" t="n"/>
      <c r="H1" s="26" t="n"/>
      <c r="I1" s="26" t="n"/>
    </row>
    <row r="2" ht="20.25" customHeight="1">
      <c r="A2" s="93" t="inlineStr">
        <is>
          <t>Teacher Name:</t>
        </is>
      </c>
      <c r="B2" s="94" t="n"/>
      <c r="C2" s="95" t="n"/>
      <c r="D2" s="55">
        <f>'G4- Attendance'!D2</f>
        <v/>
      </c>
      <c r="E2" s="35">
        <f>'G4- Attendance'!E2</f>
        <v/>
      </c>
      <c r="F2" s="26" t="n"/>
      <c r="G2" s="49" t="n"/>
      <c r="H2" s="26" t="n"/>
      <c r="I2" s="26" t="n"/>
    </row>
    <row r="3" ht="21" customHeight="1">
      <c r="A3" s="93" t="inlineStr">
        <is>
          <t>School ID:</t>
        </is>
      </c>
      <c r="B3" s="94" t="n"/>
      <c r="C3" s="95" t="n"/>
      <c r="D3" s="56">
        <f>'G4- Attendance'!D3</f>
        <v/>
      </c>
      <c r="E3" s="59">
        <f>'G4- Attendance'!E3</f>
        <v/>
      </c>
      <c r="F3" s="26" t="n"/>
      <c r="G3" s="26" t="n"/>
      <c r="H3" s="26" t="n"/>
      <c r="I3" s="26" t="n"/>
    </row>
    <row r="4" ht="23.25" customFormat="1" customHeight="1" s="23">
      <c r="A4" s="93" t="inlineStr">
        <is>
          <t>School Name:</t>
        </is>
      </c>
      <c r="B4" s="94" t="n"/>
      <c r="C4" s="95" t="n"/>
      <c r="D4" s="56">
        <f>'G4- Attendance'!D4</f>
        <v/>
      </c>
      <c r="E4" s="59">
        <f>'G4- Attendance'!E4</f>
        <v/>
      </c>
      <c r="F4" s="60" t="n"/>
      <c r="G4" s="60" t="n"/>
      <c r="H4" s="61" t="n"/>
      <c r="I4" s="61" t="n"/>
    </row>
    <row r="5" ht="18" customHeight="1">
      <c r="A5" s="93" t="inlineStr">
        <is>
          <t>Emirate/Area:</t>
        </is>
      </c>
      <c r="B5" s="94" t="n"/>
      <c r="C5" s="95" t="n"/>
      <c r="D5" s="56">
        <f>'G4- Attendance'!D5</f>
        <v/>
      </c>
      <c r="E5" s="62" t="n"/>
      <c r="F5" s="62" t="n"/>
      <c r="G5" s="62" t="n"/>
      <c r="H5" s="26" t="n"/>
      <c r="I5" s="26" t="n"/>
    </row>
    <row r="6" ht="41.25" customHeight="1">
      <c r="A6" s="93" t="inlineStr">
        <is>
          <t>Council:</t>
        </is>
      </c>
      <c r="B6" s="94" t="n"/>
      <c r="C6" s="95" t="n"/>
      <c r="D6" s="57">
        <f>'G4- Attendance'!D6</f>
        <v/>
      </c>
      <c r="E6" s="49" t="n"/>
      <c r="F6" s="63" t="n"/>
      <c r="G6" s="64" t="n"/>
      <c r="H6" s="64" t="n"/>
      <c r="I6" s="26" t="n"/>
    </row>
    <row r="7" ht="28.5" customHeight="1">
      <c r="A7" s="32" t="n"/>
      <c r="B7" s="27" t="n"/>
      <c r="C7" s="48" t="n"/>
      <c r="D7" s="49" t="n"/>
      <c r="E7" s="75" t="inlineStr">
        <is>
          <t>School-based Assessment (SB1)</t>
        </is>
      </c>
      <c r="F7" s="80" t="inlineStr">
        <is>
          <t>Attendance/
Effort</t>
        </is>
      </c>
      <c r="G7" s="76" t="inlineStr">
        <is>
          <t>School-based Total</t>
        </is>
      </c>
      <c r="H7" s="77" t="inlineStr">
        <is>
          <t>End of Term Total</t>
        </is>
      </c>
      <c r="I7" s="26" t="n"/>
      <c r="K7" s="3" t="n"/>
    </row>
    <row r="8" ht="15.75" customHeight="1">
      <c r="A8" s="26" t="n"/>
      <c r="B8" s="51" t="inlineStr">
        <is>
          <t>No</t>
        </is>
      </c>
      <c r="C8" s="51" t="inlineStr">
        <is>
          <t>Student #</t>
        </is>
      </c>
      <c r="D8" s="78" t="inlineStr">
        <is>
          <t>Student Name</t>
        </is>
      </c>
      <c r="E8" s="19" t="inlineStr">
        <is>
          <t>80 marks</t>
        </is>
      </c>
      <c r="F8" s="18" t="inlineStr">
        <is>
          <t>20 marks</t>
        </is>
      </c>
      <c r="G8" s="17" t="inlineStr">
        <is>
          <t>100 marks</t>
        </is>
      </c>
      <c r="H8" s="77" t="inlineStr">
        <is>
          <t>100 marks</t>
        </is>
      </c>
      <c r="I8" s="26" t="n"/>
    </row>
    <row r="9">
      <c r="A9" s="50" t="n"/>
      <c r="B9" s="22" t="n">
        <v>1</v>
      </c>
      <c r="C9" s="22" t="n">
        <v>1</v>
      </c>
      <c r="D9" s="25" t="inlineStr">
        <is>
          <t>احمد عبدالله علي سيف المزيني</t>
        </is>
      </c>
      <c r="E9" s="6" t="n">
        <v>80</v>
      </c>
      <c r="F9" s="8" t="n">
        <v>18</v>
      </c>
      <c r="G9" s="16" t="n">
        <v>98</v>
      </c>
      <c r="H9" s="79" t="n">
        <v>99</v>
      </c>
      <c r="I9" s="26" t="n"/>
    </row>
    <row r="10">
      <c r="A10" s="50" t="n"/>
      <c r="B10" s="22" t="n">
        <v>2</v>
      </c>
      <c r="C10" s="22" t="n">
        <v>2</v>
      </c>
      <c r="D10" s="25" t="inlineStr">
        <is>
          <t>جمعه مطر ضحى جمعه الظاهري</t>
        </is>
      </c>
      <c r="E10" s="6" t="n">
        <v>80</v>
      </c>
      <c r="F10" s="8" t="n">
        <v>18</v>
      </c>
      <c r="G10" s="16" t="n">
        <v>98</v>
      </c>
      <c r="H10" s="79" t="n">
        <v>77</v>
      </c>
      <c r="I10" s="26" t="n"/>
    </row>
    <row r="11">
      <c r="A11" s="50" t="n"/>
      <c r="B11" s="22" t="n">
        <v>3</v>
      </c>
      <c r="C11" s="22" t="n">
        <v>3</v>
      </c>
      <c r="D11" s="25" t="inlineStr">
        <is>
          <t>حسن صالح محمد عبدالله البريكي</t>
        </is>
      </c>
      <c r="E11" s="6" t="n">
        <v>80</v>
      </c>
      <c r="F11" s="8" t="n">
        <v>18</v>
      </c>
      <c r="G11" s="16" t="n">
        <v>98</v>
      </c>
      <c r="H11" s="79" t="n">
        <v>55</v>
      </c>
      <c r="I11" s="26" t="n"/>
    </row>
    <row r="12">
      <c r="A12" s="50" t="n"/>
      <c r="B12" s="22" t="n">
        <v>4</v>
      </c>
      <c r="C12" s="22" t="n">
        <v>4</v>
      </c>
      <c r="D12" s="25" t="inlineStr">
        <is>
          <t>حمدان محسن قادر بخش لال محمد احمد البلوشي</t>
        </is>
      </c>
      <c r="E12" s="6" t="n">
        <v>72</v>
      </c>
      <c r="F12" s="8" t="n">
        <v>18</v>
      </c>
      <c r="G12" s="16" t="n">
        <v>90</v>
      </c>
      <c r="H12" s="79" t="n">
        <v>92</v>
      </c>
      <c r="I12" s="26" t="n"/>
    </row>
    <row r="13">
      <c r="A13" s="50" t="n"/>
      <c r="B13" s="22" t="n">
        <v>5</v>
      </c>
      <c r="C13" s="22" t="n">
        <v>5</v>
      </c>
      <c r="D13" s="25" t="inlineStr">
        <is>
          <t>حميد حمد راشد محمد الكلباني</t>
        </is>
      </c>
      <c r="E13" s="6" t="n">
        <v>74</v>
      </c>
      <c r="F13" s="8" t="n">
        <v>20</v>
      </c>
      <c r="G13" s="16" t="n">
        <v>94</v>
      </c>
      <c r="H13" s="79" t="n">
        <v>93</v>
      </c>
      <c r="I13" s="26" t="n"/>
    </row>
    <row r="14">
      <c r="A14" s="50" t="n"/>
      <c r="B14" s="22" t="n">
        <v>6</v>
      </c>
      <c r="C14" s="22" t="n">
        <v>6</v>
      </c>
      <c r="D14" s="25" t="inlineStr">
        <is>
          <t>خالد هلال عبدالله بن محمد الشامسى</t>
        </is>
      </c>
      <c r="E14" s="6" t="n">
        <v>74</v>
      </c>
      <c r="F14" s="8" t="n">
        <v>19</v>
      </c>
      <c r="G14" s="16" t="n">
        <v>93</v>
      </c>
      <c r="H14" s="79" t="n">
        <v>92</v>
      </c>
      <c r="I14" s="26" t="n"/>
    </row>
    <row r="15">
      <c r="A15" s="50" t="n"/>
      <c r="B15" s="22" t="n">
        <v>7</v>
      </c>
      <c r="C15" s="22" t="n">
        <v>7</v>
      </c>
      <c r="D15" s="25" t="inlineStr">
        <is>
          <t>رحمه حمدان محمد ناجى احمد</t>
        </is>
      </c>
      <c r="E15" s="6" t="n">
        <v>70</v>
      </c>
      <c r="F15" s="8" t="n">
        <v>18</v>
      </c>
      <c r="G15" s="16" t="n">
        <v>88</v>
      </c>
      <c r="H15" s="79" t="n">
        <v>88</v>
      </c>
      <c r="I15" s="26" t="n"/>
    </row>
    <row r="16">
      <c r="A16" s="50" t="n"/>
      <c r="B16" s="22" t="n">
        <v>8</v>
      </c>
      <c r="C16" s="22" t="n">
        <v>8</v>
      </c>
      <c r="D16" s="25" t="inlineStr">
        <is>
          <t>روضة راضي مبخوت عبدالله</t>
        </is>
      </c>
      <c r="E16" s="6" t="n">
        <v>76</v>
      </c>
      <c r="F16" s="8" t="n">
        <v>19</v>
      </c>
      <c r="G16" s="16" t="n">
        <v>95</v>
      </c>
      <c r="H16" s="79" t="n">
        <v>94</v>
      </c>
      <c r="I16" s="26" t="n"/>
    </row>
    <row r="17">
      <c r="A17" s="50" t="n"/>
      <c r="B17" s="22" t="n">
        <v>9</v>
      </c>
      <c r="C17" s="22" t="n">
        <v>9</v>
      </c>
      <c r="D17" s="25" t="inlineStr">
        <is>
          <t>زايد حمدان محمد عبدالله المهيري</t>
        </is>
      </c>
      <c r="E17" s="6" t="n">
        <v>77</v>
      </c>
      <c r="F17" s="8" t="n">
        <v>19</v>
      </c>
      <c r="G17" s="16" t="n">
        <v>96</v>
      </c>
      <c r="H17" s="79" t="n">
        <v>87</v>
      </c>
      <c r="I17" s="26" t="n"/>
    </row>
    <row r="18">
      <c r="A18" s="50" t="n"/>
      <c r="B18" s="22" t="n">
        <v>10</v>
      </c>
      <c r="C18" s="22" t="n">
        <v>10</v>
      </c>
      <c r="D18" s="25" t="inlineStr">
        <is>
          <t>سلامه محسن احمد محسن عبدالله الحارثي</t>
        </is>
      </c>
      <c r="E18" s="6" t="n">
        <v>80</v>
      </c>
      <c r="F18" s="8" t="n">
        <v>20</v>
      </c>
      <c r="G18" s="16" t="n">
        <v>100</v>
      </c>
      <c r="H18" s="79" t="n">
        <v>92</v>
      </c>
      <c r="I18" s="26" t="n"/>
    </row>
    <row r="19">
      <c r="A19" s="50" t="n"/>
      <c r="B19" s="22" t="n">
        <v>11</v>
      </c>
      <c r="C19" s="22" t="n">
        <v>11</v>
      </c>
      <c r="D19" s="25" t="inlineStr">
        <is>
          <t>سيف جلال سالم البادي</t>
        </is>
      </c>
      <c r="E19" s="6" t="n">
        <v>68</v>
      </c>
      <c r="F19" s="8" t="n">
        <v>20</v>
      </c>
      <c r="G19" s="16" t="n">
        <v>88</v>
      </c>
      <c r="H19" s="79" t="n">
        <v>86</v>
      </c>
      <c r="I19" s="26" t="n"/>
    </row>
    <row r="20">
      <c r="A20" s="50" t="n"/>
      <c r="B20" s="22" t="n">
        <v>12</v>
      </c>
      <c r="C20" s="22" t="n">
        <v>12</v>
      </c>
      <c r="D20" s="25" t="inlineStr">
        <is>
          <t>سيف علي سعيد عمير الظاهري</t>
        </is>
      </c>
      <c r="E20" s="6" t="n">
        <v>66</v>
      </c>
      <c r="F20" s="8" t="n">
        <v>18</v>
      </c>
      <c r="G20" s="16" t="n">
        <v>84</v>
      </c>
      <c r="H20" s="79" t="n">
        <v>86</v>
      </c>
      <c r="I20" s="26" t="n"/>
    </row>
    <row r="21">
      <c r="A21" s="50" t="n"/>
      <c r="B21" s="22" t="n">
        <v>13</v>
      </c>
      <c r="C21" s="22" t="n">
        <v>13</v>
      </c>
      <c r="D21" s="25" t="inlineStr">
        <is>
          <t>صالح حمد صالح مبارك المشيعى</t>
        </is>
      </c>
      <c r="E21" s="6" t="n">
        <v>66</v>
      </c>
      <c r="F21" s="8" t="n">
        <v>19</v>
      </c>
      <c r="G21" s="16" t="n">
        <v>85</v>
      </c>
      <c r="H21" s="79" t="n">
        <v>85</v>
      </c>
      <c r="I21" s="26" t="n"/>
    </row>
    <row r="22">
      <c r="A22" s="50" t="n"/>
      <c r="B22" s="22" t="n">
        <v>14</v>
      </c>
      <c r="C22" s="22" t="n">
        <v>14</v>
      </c>
      <c r="D22" s="25" t="inlineStr">
        <is>
          <t>عايشه سالم علي سيف الخييلي</t>
        </is>
      </c>
      <c r="E22" s="6" t="n">
        <v>79</v>
      </c>
      <c r="F22" s="8" t="n">
        <v>18</v>
      </c>
      <c r="G22" s="16" t="n">
        <v>97</v>
      </c>
      <c r="H22" s="79" t="n">
        <v>90</v>
      </c>
      <c r="I22" s="26" t="n"/>
    </row>
    <row r="23">
      <c r="A23" s="50" t="n"/>
      <c r="B23" s="22" t="n">
        <v>15</v>
      </c>
      <c r="C23" s="22" t="n">
        <v>15</v>
      </c>
      <c r="D23" s="25" t="inlineStr">
        <is>
          <t>عبدالله على سالم مسعود الظاهري</t>
        </is>
      </c>
      <c r="E23" s="6" t="n">
        <v>69</v>
      </c>
      <c r="F23" s="8" t="n">
        <v>20</v>
      </c>
      <c r="G23" s="16" t="n">
        <v>89</v>
      </c>
      <c r="H23" s="79" t="n">
        <v>75</v>
      </c>
      <c r="I23" s="26" t="n"/>
    </row>
    <row r="24">
      <c r="A24" s="50" t="n"/>
      <c r="B24" s="22" t="n">
        <v>16</v>
      </c>
      <c r="C24" s="22" t="n">
        <v>16</v>
      </c>
      <c r="D24" s="25" t="inlineStr">
        <is>
          <t>علي محمد احمد حمدان العامري</t>
        </is>
      </c>
      <c r="E24" s="6" t="n">
        <v>71</v>
      </c>
      <c r="F24" s="8" t="n">
        <v>19</v>
      </c>
      <c r="G24" s="16" t="n">
        <v>90</v>
      </c>
      <c r="H24" s="79" t="n">
        <v>90</v>
      </c>
      <c r="I24" s="26" t="n"/>
    </row>
    <row r="25">
      <c r="A25" s="50" t="n"/>
      <c r="B25" s="22" t="n">
        <v>17</v>
      </c>
      <c r="C25" s="22" t="n">
        <v>17</v>
      </c>
      <c r="D25" s="25" t="inlineStr">
        <is>
          <t>لميس محمد الامين</t>
        </is>
      </c>
      <c r="E25" s="6" t="n">
        <v>80</v>
      </c>
      <c r="F25" s="8" t="n">
        <v>19</v>
      </c>
      <c r="G25" s="16" t="n">
        <v>99</v>
      </c>
      <c r="H25" s="79" t="n">
        <v>89</v>
      </c>
      <c r="I25" s="26" t="n"/>
    </row>
    <row r="26">
      <c r="A26" s="50" t="n"/>
      <c r="B26" s="22" t="n">
        <v>18</v>
      </c>
      <c r="C26" s="22" t="n">
        <v>18</v>
      </c>
      <c r="D26" s="25" t="inlineStr">
        <is>
          <t>ماريا سعيد جمعه سعيد</t>
        </is>
      </c>
      <c r="E26" s="6" t="n">
        <v>80</v>
      </c>
      <c r="F26" s="8" t="n">
        <v>18</v>
      </c>
      <c r="G26" s="16" t="n">
        <v>98</v>
      </c>
      <c r="H26" s="79" t="n">
        <v>89</v>
      </c>
      <c r="I26" s="26" t="n"/>
    </row>
    <row r="27">
      <c r="A27" s="50" t="n"/>
      <c r="B27" s="22" t="n">
        <v>19</v>
      </c>
      <c r="C27" s="22" t="n">
        <v>19</v>
      </c>
      <c r="D27" s="25" t="inlineStr">
        <is>
          <t>مروه خالد سالم حميد الريسي</t>
        </is>
      </c>
      <c r="E27" s="6" t="n">
        <v>80</v>
      </c>
      <c r="F27" s="8" t="n">
        <v>18</v>
      </c>
      <c r="G27" s="16" t="n">
        <v>98</v>
      </c>
      <c r="H27" s="79" t="n">
        <v>88</v>
      </c>
      <c r="I27" s="26" t="n"/>
    </row>
    <row r="28">
      <c r="A28" s="50" t="n"/>
      <c r="B28" s="22" t="n">
        <v>20</v>
      </c>
      <c r="C28" s="22" t="n">
        <v>20</v>
      </c>
      <c r="D28" s="25" t="inlineStr">
        <is>
          <t>مريم يوسف عبدالكريم محمد البلوشي</t>
        </is>
      </c>
      <c r="E28" s="6" t="n">
        <v>76</v>
      </c>
      <c r="F28" s="8" t="n">
        <v>20</v>
      </c>
      <c r="G28" s="16" t="n">
        <v>96</v>
      </c>
      <c r="H28" s="79" t="n">
        <v>96</v>
      </c>
      <c r="I28" s="26" t="n"/>
    </row>
    <row r="29">
      <c r="A29" s="50" t="n"/>
      <c r="B29" s="22" t="n">
        <v>21</v>
      </c>
      <c r="C29" s="22" t="n">
        <v>21</v>
      </c>
      <c r="D29" s="25" t="inlineStr">
        <is>
          <t>مريم يوسف محمد يعقوب البلوشى</t>
        </is>
      </c>
      <c r="E29" s="6" t="n">
        <v>80</v>
      </c>
      <c r="F29" s="8" t="n">
        <v>18</v>
      </c>
      <c r="G29" s="16" t="n">
        <v>98</v>
      </c>
      <c r="H29" s="79" t="n">
        <v>92</v>
      </c>
      <c r="I29" s="26" t="n"/>
    </row>
    <row r="30">
      <c r="A30" s="50" t="n"/>
      <c r="B30" s="22" t="n">
        <v>22</v>
      </c>
      <c r="C30" s="22" t="n">
        <v>22</v>
      </c>
      <c r="D30" s="25" t="inlineStr">
        <is>
          <t>مهرة حسن محمد عبده عبدالاله</t>
        </is>
      </c>
      <c r="E30" s="6" t="n">
        <v>80</v>
      </c>
      <c r="F30" s="8" t="n">
        <v>20</v>
      </c>
      <c r="G30" s="16" t="n">
        <v>100</v>
      </c>
      <c r="H30" s="79" t="n">
        <v>88</v>
      </c>
      <c r="I30" s="26" t="n"/>
    </row>
    <row r="31">
      <c r="A31" s="50" t="n"/>
      <c r="B31" s="22" t="n">
        <v>23</v>
      </c>
      <c r="C31" s="22" t="n">
        <v>23</v>
      </c>
      <c r="D31" s="25" t="inlineStr">
        <is>
          <t>ميره صالح جاسم سعيد البلوشي</t>
        </is>
      </c>
      <c r="E31" s="6" t="n">
        <v>80</v>
      </c>
      <c r="F31" s="8" t="n">
        <v>20</v>
      </c>
      <c r="G31" s="16" t="n">
        <v>100</v>
      </c>
      <c r="H31" s="79" t="n">
        <v>86</v>
      </c>
      <c r="I31" s="26" t="n"/>
    </row>
    <row r="32">
      <c r="A32" s="50" t="n"/>
      <c r="B32" s="22" t="n">
        <v>24</v>
      </c>
      <c r="C32" s="22" t="n">
        <v>24</v>
      </c>
      <c r="D32" s="25" t="inlineStr">
        <is>
          <t>ناصر محمد احمد عادل ابراهيم رسلان</t>
        </is>
      </c>
      <c r="E32" s="6" t="n">
        <v>71</v>
      </c>
      <c r="F32" s="8" t="n">
        <v>19</v>
      </c>
      <c r="G32" s="16" t="n">
        <v>90</v>
      </c>
      <c r="H32" s="79" t="n">
        <v>90</v>
      </c>
      <c r="I32" s="26" t="n"/>
    </row>
    <row r="33">
      <c r="A33" s="50" t="n"/>
      <c r="B33" s="22" t="n">
        <v>25</v>
      </c>
      <c r="C33" s="22" t="n">
        <v>25</v>
      </c>
      <c r="D33" s="25" t="inlineStr">
        <is>
          <t>هيفاء مسفر ناصر سعود المنصوري</t>
        </is>
      </c>
      <c r="E33" s="6" t="n">
        <v>80</v>
      </c>
      <c r="F33" s="8" t="n">
        <v>20</v>
      </c>
      <c r="G33" s="16" t="n">
        <v>100</v>
      </c>
      <c r="H33" s="79" t="n">
        <v>89</v>
      </c>
      <c r="I33" s="26" t="n"/>
    </row>
    <row r="34">
      <c r="A34" s="50" t="n"/>
      <c r="B34" s="22" t="n">
        <v>26</v>
      </c>
      <c r="C34" s="22" t="n">
        <v>26</v>
      </c>
      <c r="D34" s="25" t="inlineStr">
        <is>
          <t>وديمه خليل هادى سعيد الأحبابي</t>
        </is>
      </c>
      <c r="E34" s="6" t="n">
        <v>79</v>
      </c>
      <c r="F34" s="8" t="n">
        <v>18</v>
      </c>
      <c r="G34" s="16" t="n">
        <v>97</v>
      </c>
      <c r="H34" s="79" t="n">
        <v>90</v>
      </c>
      <c r="I34" s="26" t="n"/>
    </row>
    <row r="35">
      <c r="A35" s="50" t="n"/>
      <c r="B35" s="22" t="n"/>
      <c r="C35" s="22" t="n"/>
      <c r="D35" s="25" t="n"/>
      <c r="E35" s="6" t="n"/>
      <c r="F35" s="8" t="n"/>
      <c r="G35" s="16" t="n"/>
      <c r="H35" s="79" t="n"/>
      <c r="I35" s="26" t="n"/>
    </row>
    <row r="36">
      <c r="A36" s="50" t="n"/>
      <c r="B36" s="22" t="n"/>
      <c r="C36" s="22" t="n"/>
      <c r="D36" s="25" t="n"/>
      <c r="E36" s="6" t="n"/>
      <c r="F36" s="8" t="n"/>
      <c r="G36" s="16" t="n"/>
      <c r="H36" s="79" t="n"/>
      <c r="I36" s="26" t="n"/>
    </row>
    <row r="37">
      <c r="A37" s="50" t="n"/>
      <c r="B37" s="22" t="n"/>
      <c r="C37" s="22" t="n"/>
      <c r="D37" s="25" t="n"/>
      <c r="E37" s="6" t="n"/>
      <c r="F37" s="8" t="n"/>
      <c r="G37" s="16" t="n"/>
      <c r="H37" s="79" t="n"/>
      <c r="I37" s="26" t="n"/>
    </row>
    <row r="38">
      <c r="A38" s="50" t="n"/>
      <c r="B38" s="22" t="n"/>
      <c r="C38" s="22" t="n"/>
      <c r="D38" s="25" t="n"/>
      <c r="E38" s="6" t="n"/>
      <c r="F38" s="8" t="n"/>
      <c r="G38" s="16" t="n"/>
      <c r="H38" s="79" t="n"/>
      <c r="I38" s="26" t="n"/>
    </row>
    <row r="39">
      <c r="A39" s="50" t="n"/>
      <c r="B39" s="22" t="n"/>
      <c r="C39" s="22" t="n"/>
      <c r="D39" s="25" t="n"/>
      <c r="E39" s="6" t="n"/>
      <c r="F39" s="8" t="n"/>
      <c r="G39" s="16" t="n"/>
      <c r="H39" s="79" t="n"/>
      <c r="I39" s="26" t="n"/>
    </row>
    <row r="40">
      <c r="A40" s="50" t="n"/>
      <c r="B40" s="22" t="n"/>
      <c r="C40" s="22" t="n"/>
      <c r="D40" s="25" t="n"/>
      <c r="E40" s="6" t="n"/>
      <c r="F40" s="8" t="n"/>
      <c r="G40" s="16" t="n"/>
      <c r="H40" s="79" t="n"/>
      <c r="I40" s="26" t="n"/>
    </row>
    <row r="41">
      <c r="A41" s="50" t="n"/>
      <c r="B41" s="22" t="n"/>
      <c r="C41" s="22" t="n"/>
      <c r="D41" s="25" t="n"/>
      <c r="E41" s="6" t="n"/>
      <c r="F41" s="8" t="n"/>
      <c r="G41" s="16" t="n"/>
      <c r="H41" s="79" t="n"/>
      <c r="I41" s="26" t="n"/>
    </row>
    <row r="42">
      <c r="A42" s="50" t="n"/>
      <c r="B42" s="22" t="n"/>
      <c r="C42" s="22" t="n"/>
      <c r="D42" s="25" t="n"/>
      <c r="E42" s="6" t="n"/>
      <c r="F42" s="8" t="n"/>
      <c r="G42" s="16" t="n"/>
      <c r="H42" s="79" t="n"/>
      <c r="I42" s="26" t="n"/>
    </row>
    <row r="43">
      <c r="A43" s="50" t="n"/>
      <c r="B43" s="22" t="n"/>
      <c r="C43" s="22" t="n"/>
      <c r="D43" s="25" t="n"/>
      <c r="E43" s="6" t="n"/>
      <c r="F43" s="8" t="n"/>
      <c r="G43" s="16" t="n"/>
      <c r="H43" s="79" t="n"/>
      <c r="I43" s="26" t="n"/>
    </row>
    <row r="44">
      <c r="A44" s="50" t="n"/>
      <c r="B44" s="22" t="n"/>
      <c r="C44" s="22" t="n"/>
      <c r="D44" s="25" t="n"/>
      <c r="E44" s="6" t="n"/>
      <c r="F44" s="8" t="n"/>
      <c r="G44" s="16" t="n"/>
      <c r="H44" s="79" t="n"/>
      <c r="I44" s="26" t="n"/>
    </row>
    <row r="45">
      <c r="A45" s="50" t="n"/>
      <c r="B45" s="22" t="n"/>
      <c r="C45" s="22" t="n"/>
      <c r="D45" s="25" t="n"/>
      <c r="E45" s="6" t="n"/>
      <c r="F45" s="8" t="n"/>
      <c r="G45" s="16" t="n"/>
      <c r="H45" s="79" t="n"/>
      <c r="I45" s="26" t="n"/>
    </row>
    <row r="46">
      <c r="A46" s="50" t="n"/>
      <c r="B46" s="22" t="n"/>
      <c r="C46" s="22" t="n"/>
      <c r="D46" s="25" t="n"/>
      <c r="E46" s="6" t="n"/>
      <c r="F46" s="8" t="n"/>
      <c r="G46" s="16" t="n"/>
      <c r="H46" s="79" t="n"/>
      <c r="I46" s="26" t="n"/>
    </row>
    <row r="47">
      <c r="A47" s="50" t="n"/>
      <c r="B47" s="22" t="n"/>
      <c r="C47" s="22" t="n"/>
      <c r="D47" s="25" t="n"/>
      <c r="E47" s="6" t="n"/>
      <c r="F47" s="8" t="n"/>
      <c r="G47" s="16" t="n"/>
      <c r="H47" s="79" t="n"/>
      <c r="I47" s="26" t="n"/>
    </row>
    <row r="48">
      <c r="A48" s="50" t="n"/>
      <c r="B48" s="22" t="n"/>
      <c r="C48" s="22" t="n"/>
      <c r="D48" s="25" t="n"/>
      <c r="E48" s="6" t="n"/>
      <c r="F48" s="8" t="n"/>
      <c r="G48" s="16" t="n"/>
      <c r="H48" s="79" t="n"/>
      <c r="I48" s="26" t="n"/>
    </row>
    <row r="49">
      <c r="A49" s="50" t="n"/>
      <c r="B49" s="22" t="n"/>
      <c r="C49" s="22" t="n"/>
      <c r="D49" s="25" t="n"/>
      <c r="E49" s="6" t="n"/>
      <c r="F49" s="8" t="n"/>
      <c r="G49" s="16" t="n"/>
      <c r="H49" s="79" t="n"/>
      <c r="I49" s="26" t="n"/>
    </row>
    <row r="50">
      <c r="A50" s="50" t="n"/>
      <c r="B50" s="22" t="n"/>
      <c r="C50" s="22" t="n"/>
      <c r="D50" s="25" t="n"/>
      <c r="E50" s="6" t="n"/>
      <c r="F50" s="8" t="n"/>
      <c r="G50" s="16" t="n"/>
      <c r="H50" s="79" t="n"/>
      <c r="I50" s="26" t="n"/>
    </row>
    <row r="51">
      <c r="A51" s="50" t="n"/>
      <c r="B51" s="22" t="n"/>
      <c r="C51" s="22" t="n"/>
      <c r="D51" s="25" t="n"/>
      <c r="E51" s="6" t="n"/>
      <c r="F51" s="8" t="n"/>
      <c r="G51" s="16" t="n"/>
      <c r="H51" s="79" t="n"/>
      <c r="I51" s="26" t="n"/>
    </row>
    <row r="52">
      <c r="A52" s="50" t="n"/>
      <c r="B52" s="22" t="n"/>
      <c r="C52" s="22" t="n"/>
      <c r="D52" s="25" t="n"/>
      <c r="E52" s="6" t="n"/>
      <c r="F52" s="8" t="n"/>
      <c r="G52" s="16" t="n"/>
      <c r="H52" s="79" t="n"/>
      <c r="I52" s="26" t="n"/>
    </row>
    <row r="53">
      <c r="A53" s="50" t="n"/>
      <c r="B53" s="22" t="n"/>
      <c r="C53" s="22" t="n"/>
      <c r="D53" s="25" t="n"/>
      <c r="E53" s="6" t="n"/>
      <c r="F53" s="8" t="n"/>
      <c r="G53" s="16" t="n"/>
      <c r="H53" s="79" t="n"/>
      <c r="I53" s="26" t="n"/>
    </row>
    <row r="54">
      <c r="A54" s="50" t="n"/>
      <c r="B54" s="22" t="n"/>
      <c r="C54" s="22" t="n"/>
      <c r="D54" s="25" t="n"/>
      <c r="E54" s="6" t="n"/>
      <c r="F54" s="8" t="n"/>
      <c r="G54" s="16" t="n"/>
      <c r="H54" s="79" t="n"/>
      <c r="I54" s="26" t="n"/>
    </row>
    <row r="55">
      <c r="A55" s="50" t="n"/>
      <c r="B55" s="22" t="n"/>
      <c r="C55" s="22" t="n"/>
      <c r="D55" s="25" t="n"/>
      <c r="E55" s="6" t="n"/>
      <c r="F55" s="8" t="n"/>
      <c r="G55" s="16" t="n"/>
      <c r="H55" s="79" t="n"/>
      <c r="I55" s="26" t="n"/>
    </row>
    <row r="56">
      <c r="A56" s="50" t="n"/>
      <c r="B56" s="22" t="n"/>
      <c r="C56" s="22" t="n"/>
      <c r="D56" s="25" t="n"/>
      <c r="E56" s="6" t="n"/>
      <c r="F56" s="8" t="n"/>
      <c r="G56" s="16" t="n"/>
      <c r="H56" s="79" t="n"/>
      <c r="I56" s="26" t="n"/>
    </row>
    <row r="57">
      <c r="A57" s="50" t="n"/>
      <c r="B57" s="22" t="n"/>
      <c r="C57" s="22" t="n"/>
      <c r="D57" s="25" t="n"/>
      <c r="E57" s="6" t="n"/>
      <c r="F57" s="8" t="n"/>
      <c r="G57" s="16" t="n"/>
      <c r="H57" s="79" t="n"/>
      <c r="I57" s="26" t="n"/>
    </row>
    <row r="58">
      <c r="A58" s="50" t="n"/>
      <c r="B58" s="22" t="n"/>
      <c r="C58" s="22" t="n"/>
      <c r="D58" s="25" t="n"/>
      <c r="E58" s="6" t="n"/>
      <c r="F58" s="8" t="n"/>
      <c r="G58" s="16" t="n"/>
      <c r="H58" s="79" t="n"/>
      <c r="I58" s="26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26" t="n"/>
    </row>
  </sheetData>
  <mergeCells count="5">
    <mergeCell ref="A5:C5"/>
    <mergeCell ref="A6:C6"/>
    <mergeCell ref="A3:C3"/>
    <mergeCell ref="A4:C4"/>
    <mergeCell ref="A2:C2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rgb="FF00B050"/>
    <outlinePr summaryBelow="1" summaryRight="1"/>
    <pageSetUpPr/>
  </sheetPr>
  <dimension ref="A1:AI59"/>
  <sheetViews>
    <sheetView workbookViewId="0">
      <selection activeCell="A1" sqref="A1"/>
    </sheetView>
  </sheetViews>
  <sheetFormatPr baseColWidth="8" defaultColWidth="9.140625" defaultRowHeight="15"/>
  <cols>
    <col width="3.140625" customWidth="1" style="1" min="1" max="1"/>
    <col width="4.28515625" customWidth="1" style="2" min="2" max="2"/>
    <col width="12.85546875" bestFit="1" customWidth="1" style="2" min="3" max="3"/>
    <col width="38.5703125" customWidth="1" style="1" min="4" max="4"/>
    <col width="5.7109375" customWidth="1" style="1" min="5" max="10"/>
    <col width="7.85546875" bestFit="1" customWidth="1" style="1" min="11" max="11"/>
    <col width="5.7109375" customWidth="1" style="1" min="12" max="15"/>
    <col width="7.140625" customWidth="1" style="1" min="16" max="16"/>
    <col width="5.7109375" customWidth="1" style="1" min="17" max="20"/>
    <col width="7.85546875" bestFit="1" customWidth="1" style="1" min="21" max="21"/>
    <col width="5.7109375" customWidth="1" style="1" min="22" max="25"/>
    <col width="7.85546875" bestFit="1" customWidth="1" style="1" min="26" max="26"/>
    <col width="13" customWidth="1" style="1" min="27" max="27"/>
    <col width="12.28515625" customWidth="1" style="1" min="28" max="28"/>
    <col width="11" customWidth="1" style="1" min="29" max="29"/>
    <col width="12.28515625" customWidth="1" style="1" min="30" max="30"/>
    <col width="8" customWidth="1" style="1" min="31" max="31"/>
    <col width="14.7109375" customWidth="1" style="1" min="32" max="32"/>
    <col width="10.5703125" customWidth="1" style="1" min="33" max="33"/>
    <col width="11.28515625" customWidth="1" style="1" min="34" max="34"/>
    <col width="23.5703125" customWidth="1" style="1" min="35" max="35"/>
    <col width="9.140625" customWidth="1" style="1" min="36" max="16384"/>
  </cols>
  <sheetData>
    <row r="1" ht="25.5" customHeight="1" thickBot="1">
      <c r="A1" s="26" t="n"/>
      <c r="B1" s="27" t="n"/>
      <c r="C1" s="28" t="inlineStr">
        <is>
          <t>Section:</t>
        </is>
      </c>
      <c r="D1" s="29" t="inlineStr">
        <is>
          <t>4C</t>
        </is>
      </c>
      <c r="E1" s="30" t="inlineStr">
        <is>
          <t>Attendance &amp; Effort Sheet</t>
        </is>
      </c>
      <c r="F1" s="26" t="n"/>
      <c r="G1" s="26" t="n"/>
      <c r="H1" s="26" t="n"/>
      <c r="I1" s="31" t="n"/>
      <c r="J1" s="31" t="n"/>
      <c r="K1" s="31" t="n"/>
      <c r="L1" s="31" t="n"/>
      <c r="M1" s="31" t="n"/>
      <c r="N1" s="32" t="n"/>
      <c r="O1" s="32" t="n"/>
      <c r="P1" s="65" t="inlineStr">
        <is>
          <t>P=Present</t>
        </is>
      </c>
      <c r="Q1" s="66" t="n"/>
      <c r="R1" s="66" t="n"/>
      <c r="S1" s="26" t="n"/>
      <c r="T1" s="26" t="n"/>
      <c r="U1" s="32" t="n"/>
      <c r="V1" s="32" t="n"/>
      <c r="W1" s="32" t="n"/>
      <c r="X1" s="32" t="n"/>
      <c r="Y1" s="32" t="n"/>
      <c r="Z1" s="32" t="n"/>
      <c r="AA1" s="33" t="n"/>
      <c r="AB1" s="26" t="n"/>
      <c r="AC1" s="26" t="n"/>
      <c r="AD1" s="26" t="n"/>
      <c r="AE1" s="26" t="n"/>
      <c r="AF1" s="33" t="n"/>
      <c r="AG1" s="26" t="n"/>
      <c r="AH1" s="26" t="n"/>
      <c r="AI1" s="26" t="n"/>
    </row>
    <row r="2" ht="24" customHeight="1">
      <c r="A2" s="89" t="inlineStr">
        <is>
          <t>Teacher Name:</t>
        </is>
      </c>
      <c r="B2" s="94" t="n"/>
      <c r="C2" s="95" t="n"/>
      <c r="D2" s="34" t="n"/>
      <c r="E2" s="35" t="inlineStr">
        <is>
          <t xml:space="preserve">Computing, Creative Design and Innovation </t>
        </is>
      </c>
      <c r="F2" s="26" t="n"/>
      <c r="G2" s="26" t="n"/>
      <c r="H2" s="26" t="n"/>
      <c r="I2" s="31" t="n"/>
      <c r="J2" s="31" t="n"/>
      <c r="K2" s="31" t="n"/>
      <c r="L2" s="31" t="n"/>
      <c r="M2" s="31" t="n"/>
      <c r="N2" s="32" t="n"/>
      <c r="O2" s="32" t="n"/>
      <c r="P2" s="67" t="inlineStr">
        <is>
          <t>A=Absent</t>
        </is>
      </c>
      <c r="Q2" s="68" t="n"/>
      <c r="R2" s="68" t="n"/>
      <c r="S2" s="26" t="n"/>
      <c r="T2" s="26" t="n"/>
      <c r="U2" s="36" t="n"/>
      <c r="V2" s="36" t="n"/>
      <c r="W2" s="36" t="n"/>
      <c r="X2" s="36" t="n"/>
      <c r="Y2" s="36" t="n"/>
      <c r="Z2" s="36" t="n"/>
      <c r="AA2" s="37" t="n"/>
      <c r="AB2" s="37" t="n"/>
      <c r="AC2" s="37" t="n"/>
      <c r="AD2" s="37" t="n"/>
      <c r="AE2" s="37" t="n"/>
      <c r="AF2" s="26" t="n"/>
      <c r="AG2" s="26" t="n"/>
      <c r="AH2" s="26" t="n"/>
      <c r="AI2" s="26" t="n"/>
    </row>
    <row r="3" ht="29.25" customHeight="1">
      <c r="A3" s="89" t="inlineStr">
        <is>
          <t>School ID:</t>
        </is>
      </c>
      <c r="B3" s="94" t="n"/>
      <c r="C3" s="95" t="n"/>
      <c r="D3" s="34" t="n"/>
      <c r="E3" s="38" t="inlineStr">
        <is>
          <t>Grade 4</t>
        </is>
      </c>
      <c r="F3" s="26" t="n"/>
      <c r="G3" s="26" t="n"/>
      <c r="H3" s="26" t="n"/>
      <c r="I3" s="26" t="n"/>
      <c r="J3" s="39" t="n"/>
      <c r="K3" s="31" t="n"/>
      <c r="L3" s="31" t="n"/>
      <c r="M3" s="31" t="n"/>
      <c r="N3" s="36" t="n"/>
      <c r="O3" s="36" t="n"/>
      <c r="P3" s="69" t="inlineStr">
        <is>
          <t>L=Late</t>
        </is>
      </c>
      <c r="Q3" s="70" t="n"/>
      <c r="R3" s="70" t="n"/>
      <c r="S3" s="26" t="n"/>
      <c r="T3" s="26" t="n"/>
      <c r="U3" s="36" t="n"/>
      <c r="V3" s="36" t="n"/>
      <c r="W3" s="36" t="n"/>
      <c r="X3" s="36" t="n"/>
      <c r="Y3" s="36" t="n"/>
      <c r="Z3" s="36" t="n"/>
      <c r="AA3" s="37" t="n"/>
      <c r="AB3" s="37" t="n"/>
      <c r="AC3" s="37" t="n"/>
      <c r="AD3" s="37" t="n"/>
      <c r="AE3" s="37" t="n"/>
      <c r="AF3" s="26" t="n"/>
      <c r="AG3" s="26" t="n"/>
      <c r="AH3" s="26" t="n"/>
      <c r="AI3" s="26" t="n"/>
    </row>
    <row r="4" ht="24.75" customHeight="1" thickBot="1">
      <c r="A4" s="89" t="inlineStr">
        <is>
          <t>School Name:</t>
        </is>
      </c>
      <c r="B4" s="94" t="n"/>
      <c r="C4" s="95" t="n"/>
      <c r="D4" s="34" t="n"/>
      <c r="E4" s="40" t="inlineStr">
        <is>
          <t>Term 2 - 2024/2025</t>
        </is>
      </c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41" t="n"/>
      <c r="AB4" s="41" t="n"/>
      <c r="AC4" s="41" t="n"/>
      <c r="AD4" s="41" t="n"/>
      <c r="AE4" s="41" t="n"/>
      <c r="AF4" s="41" t="n"/>
      <c r="AG4" s="41" t="n"/>
      <c r="AH4" s="26" t="n"/>
      <c r="AI4" s="26" t="n"/>
    </row>
    <row r="5" ht="23.25" customHeight="1">
      <c r="A5" s="89" t="inlineStr">
        <is>
          <t>Emirate/Area:</t>
        </is>
      </c>
      <c r="B5" s="94" t="n"/>
      <c r="C5" s="95" t="n"/>
      <c r="D5" s="34" t="n"/>
      <c r="E5" s="42" t="inlineStr">
        <is>
          <t>1. Student 'attendance' and 'effort' is part of the total of the School-Based mark. Please ensure that you record all attendance here.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5" t="n"/>
      <c r="AC5" s="45" t="n"/>
      <c r="AD5" s="45" t="n"/>
      <c r="AE5" s="45" t="n"/>
      <c r="AF5" s="45" t="n"/>
      <c r="AG5" s="45" t="n"/>
      <c r="AH5" s="45" t="n"/>
      <c r="AI5" s="45" t="n"/>
    </row>
    <row r="6" ht="24.75" customHeight="1">
      <c r="A6" s="89" t="inlineStr">
        <is>
          <t>Council:</t>
        </is>
      </c>
      <c r="B6" s="94" t="n"/>
      <c r="C6" s="95" t="n"/>
      <c r="D6" s="34" t="n"/>
      <c r="E6" s="46" t="inlineStr">
        <is>
          <t>2. Consult your principal for late/absent policy</t>
        </is>
      </c>
      <c r="F6" s="47" t="n"/>
      <c r="G6" s="47" t="n"/>
      <c r="H6" s="47" t="n"/>
      <c r="I6" s="47" t="n"/>
      <c r="J6" s="47" t="n"/>
      <c r="K6" s="47" t="n"/>
      <c r="L6" s="47" t="n"/>
      <c r="M6" s="47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26" t="n"/>
      <c r="AC6" s="26" t="n"/>
      <c r="AD6" s="26" t="n"/>
      <c r="AE6" s="26" t="n"/>
      <c r="AF6" s="26" t="n"/>
      <c r="AG6" s="26" t="n"/>
      <c r="AH6" s="26" t="n"/>
      <c r="AI6" s="26" t="n"/>
    </row>
    <row r="7" ht="18.75" customHeight="1">
      <c r="A7" s="32" t="n"/>
      <c r="B7" s="27" t="n"/>
      <c r="C7" s="48" t="n"/>
      <c r="D7" s="49" t="n"/>
      <c r="E7" s="82" t="inlineStr">
        <is>
          <t>Week 1</t>
        </is>
      </c>
      <c r="F7" s="96" t="n"/>
      <c r="G7" s="81" t="inlineStr">
        <is>
          <t>Week 2</t>
        </is>
      </c>
      <c r="H7" s="96" t="n"/>
      <c r="I7" s="82" t="inlineStr">
        <is>
          <t>Week 3</t>
        </is>
      </c>
      <c r="J7" s="96" t="n"/>
      <c r="K7" s="20" t="inlineStr">
        <is>
          <t>Effort</t>
        </is>
      </c>
      <c r="L7" s="81" t="inlineStr">
        <is>
          <t>Week 4</t>
        </is>
      </c>
      <c r="M7" s="96" t="n"/>
      <c r="N7" s="82" t="inlineStr">
        <is>
          <t>Week 5</t>
        </is>
      </c>
      <c r="O7" s="96" t="n"/>
      <c r="P7" s="20" t="inlineStr">
        <is>
          <t>Effort</t>
        </is>
      </c>
      <c r="Q7" s="81" t="inlineStr">
        <is>
          <t>Week 6</t>
        </is>
      </c>
      <c r="R7" s="96" t="n"/>
      <c r="S7" s="82" t="inlineStr">
        <is>
          <t>Week 7</t>
        </is>
      </c>
      <c r="T7" s="96" t="n"/>
      <c r="U7" s="20" t="inlineStr">
        <is>
          <t>Effort</t>
        </is>
      </c>
      <c r="V7" s="81" t="inlineStr">
        <is>
          <t>Week 8</t>
        </is>
      </c>
      <c r="W7" s="96" t="n"/>
      <c r="X7" s="82" t="inlineStr">
        <is>
          <t>Week 9</t>
        </is>
      </c>
      <c r="Y7" s="96" t="n"/>
      <c r="Z7" s="20" t="inlineStr">
        <is>
          <t>Effort</t>
        </is>
      </c>
      <c r="AA7" s="20" t="inlineStr">
        <is>
          <t>Avg</t>
        </is>
      </c>
      <c r="AB7" s="26" t="n"/>
      <c r="AC7" s="26" t="n"/>
      <c r="AD7" s="26" t="n"/>
      <c r="AE7" s="26" t="n"/>
      <c r="AF7" s="26" t="n"/>
      <c r="AG7" s="26" t="n"/>
      <c r="AH7" s="26" t="n"/>
      <c r="AI7" s="26" t="n"/>
    </row>
    <row r="8" ht="50.25" customHeight="1">
      <c r="A8" s="26" t="n"/>
      <c r="B8" s="51" t="inlineStr">
        <is>
          <t>No</t>
        </is>
      </c>
      <c r="C8" s="51" t="inlineStr">
        <is>
          <t>Student #</t>
        </is>
      </c>
      <c r="D8" s="52" t="inlineStr">
        <is>
          <t>Student Name</t>
        </is>
      </c>
      <c r="E8" s="85" t="n">
        <v>45663</v>
      </c>
      <c r="F8" s="96" t="n"/>
      <c r="G8" s="85" t="n">
        <v>45670</v>
      </c>
      <c r="H8" s="96" t="n"/>
      <c r="I8" s="85" t="n">
        <v>45677</v>
      </c>
      <c r="J8" s="96" t="n"/>
      <c r="K8" s="24" t="inlineStr">
        <is>
          <t>10M</t>
        </is>
      </c>
      <c r="L8" s="85" t="n">
        <v>45684</v>
      </c>
      <c r="M8" s="96" t="n"/>
      <c r="N8" s="85" t="n">
        <v>45691</v>
      </c>
      <c r="O8" s="96" t="n"/>
      <c r="P8" s="24" t="inlineStr">
        <is>
          <t>10M</t>
        </is>
      </c>
      <c r="Q8" s="85" t="n">
        <v>45698</v>
      </c>
      <c r="R8" s="96" t="n"/>
      <c r="S8" s="85" t="n">
        <v>45705</v>
      </c>
      <c r="T8" s="96" t="n"/>
      <c r="U8" s="24" t="inlineStr">
        <is>
          <t>10M</t>
        </is>
      </c>
      <c r="V8" s="85" t="n">
        <v>45712</v>
      </c>
      <c r="W8" s="96" t="n"/>
      <c r="X8" s="85" t="n">
        <v>45719</v>
      </c>
      <c r="Y8" s="96" t="n"/>
      <c r="Z8" s="24" t="inlineStr">
        <is>
          <t>10M</t>
        </is>
      </c>
      <c r="AA8" s="21" t="inlineStr">
        <is>
          <t>Effort</t>
        </is>
      </c>
      <c r="AB8" s="71" t="inlineStr">
        <is>
          <t>#Present</t>
        </is>
      </c>
      <c r="AC8" s="72" t="inlineStr">
        <is>
          <t>#Late</t>
        </is>
      </c>
      <c r="AD8" s="72" t="inlineStr">
        <is>
          <t>#Absence</t>
        </is>
      </c>
      <c r="AE8" s="73" t="inlineStr">
        <is>
          <t>Tot Att</t>
        </is>
      </c>
      <c r="AF8" s="73" t="inlineStr">
        <is>
          <t>Attendance Mark (10)</t>
        </is>
      </c>
      <c r="AG8" s="73" t="inlineStr">
        <is>
          <t>Effort Mark (10)</t>
        </is>
      </c>
      <c r="AH8" s="73" t="inlineStr">
        <is>
          <t>Total Marks (20)</t>
        </is>
      </c>
      <c r="AI8" s="74" t="inlineStr">
        <is>
          <t>Comments</t>
        </is>
      </c>
    </row>
    <row r="9">
      <c r="A9" s="50" t="n"/>
      <c r="B9" s="4" t="n">
        <v>1</v>
      </c>
      <c r="C9" s="4" t="n">
        <v>1</v>
      </c>
      <c r="D9" s="7" t="inlineStr">
        <is>
          <t>حصه صالح سالم البرك العامري</t>
        </is>
      </c>
      <c r="E9" s="15" t="inlineStr">
        <is>
          <t>NA</t>
        </is>
      </c>
      <c r="F9" s="15" t="inlineStr">
        <is>
          <t>NA</t>
        </is>
      </c>
      <c r="G9" s="4" t="inlineStr">
        <is>
          <t>P</t>
        </is>
      </c>
      <c r="H9" s="4" t="inlineStr">
        <is>
          <t>P</t>
        </is>
      </c>
      <c r="I9" s="4" t="inlineStr">
        <is>
          <t>P</t>
        </is>
      </c>
      <c r="J9" s="4" t="inlineStr">
        <is>
          <t>P</t>
        </is>
      </c>
      <c r="K9" s="9" t="n">
        <v>10</v>
      </c>
      <c r="L9" s="4" t="inlineStr">
        <is>
          <t>P</t>
        </is>
      </c>
      <c r="M9" s="4" t="inlineStr">
        <is>
          <t>P</t>
        </is>
      </c>
      <c r="N9" s="4" t="inlineStr">
        <is>
          <t>P</t>
        </is>
      </c>
      <c r="O9" s="4" t="inlineStr">
        <is>
          <t>P</t>
        </is>
      </c>
      <c r="P9" s="9" t="n">
        <v>10</v>
      </c>
      <c r="Q9" s="4" t="inlineStr">
        <is>
          <t>P</t>
        </is>
      </c>
      <c r="R9" s="4" t="inlineStr">
        <is>
          <t>P</t>
        </is>
      </c>
      <c r="S9" s="4" t="inlineStr">
        <is>
          <t>P</t>
        </is>
      </c>
      <c r="T9" s="4" t="inlineStr">
        <is>
          <t>P</t>
        </is>
      </c>
      <c r="U9" s="9" t="n">
        <v>10</v>
      </c>
      <c r="V9" s="4" t="inlineStr">
        <is>
          <t>P</t>
        </is>
      </c>
      <c r="W9" s="4" t="inlineStr">
        <is>
          <t>P</t>
        </is>
      </c>
      <c r="X9" s="4" t="inlineStr">
        <is>
          <t>P</t>
        </is>
      </c>
      <c r="Y9" s="4" t="inlineStr">
        <is>
          <t>P</t>
        </is>
      </c>
      <c r="Z9" s="9" t="n">
        <v>10</v>
      </c>
      <c r="AA9" s="10">
        <f>AVERAGE(K9,P9,U9,Z9)</f>
        <v/>
      </c>
      <c r="AB9" s="11">
        <f>COUNTIF(G9:Z9,"P")</f>
        <v/>
      </c>
      <c r="AC9" s="12">
        <f>COUNTIF(G9:Z9,"L")</f>
        <v/>
      </c>
      <c r="AD9" s="13">
        <f>COUNTIF(G9:Z9,"A")</f>
        <v/>
      </c>
      <c r="AE9" s="14">
        <f>AB9+AC9</f>
        <v/>
      </c>
      <c r="AF9" s="8">
        <f>AE9/16*10</f>
        <v/>
      </c>
      <c r="AG9" s="8">
        <f>AA9</f>
        <v/>
      </c>
      <c r="AH9" s="8" t="n">
        <v>18</v>
      </c>
      <c r="AI9" s="5" t="inlineStr">
        <is>
          <t>Excellent work and effort</t>
        </is>
      </c>
    </row>
    <row r="10">
      <c r="A10" s="50" t="n"/>
      <c r="B10" s="4" t="n">
        <v>2</v>
      </c>
      <c r="C10" s="4" t="n">
        <v>2</v>
      </c>
      <c r="D10" s="7" t="inlineStr">
        <is>
          <t>حصه عوض يسلم عوض الصيعري</t>
        </is>
      </c>
      <c r="E10" s="15" t="inlineStr">
        <is>
          <t>NA</t>
        </is>
      </c>
      <c r="F10" s="15" t="inlineStr">
        <is>
          <t>NA</t>
        </is>
      </c>
      <c r="G10" s="4" t="inlineStr">
        <is>
          <t>P</t>
        </is>
      </c>
      <c r="H10" s="4" t="inlineStr">
        <is>
          <t>P</t>
        </is>
      </c>
      <c r="I10" s="4" t="inlineStr">
        <is>
          <t>P</t>
        </is>
      </c>
      <c r="J10" s="4" t="inlineStr">
        <is>
          <t>P</t>
        </is>
      </c>
      <c r="K10" s="9" t="n">
        <v>10</v>
      </c>
      <c r="L10" s="4" t="inlineStr">
        <is>
          <t>A</t>
        </is>
      </c>
      <c r="M10" s="4" t="inlineStr">
        <is>
          <t>A</t>
        </is>
      </c>
      <c r="N10" s="4" t="inlineStr">
        <is>
          <t>L</t>
        </is>
      </c>
      <c r="O10" s="4" t="inlineStr">
        <is>
          <t>P</t>
        </is>
      </c>
      <c r="P10" s="9" t="n">
        <v>10</v>
      </c>
      <c r="Q10" s="4" t="inlineStr">
        <is>
          <t>P</t>
        </is>
      </c>
      <c r="R10" s="4" t="inlineStr">
        <is>
          <t>P</t>
        </is>
      </c>
      <c r="S10" s="4" t="inlineStr">
        <is>
          <t>P</t>
        </is>
      </c>
      <c r="T10" s="4" t="inlineStr">
        <is>
          <t>P</t>
        </is>
      </c>
      <c r="U10" s="9" t="n">
        <v>10</v>
      </c>
      <c r="V10" s="4" t="inlineStr">
        <is>
          <t>P</t>
        </is>
      </c>
      <c r="W10" s="4" t="inlineStr">
        <is>
          <t>P</t>
        </is>
      </c>
      <c r="X10" s="4" t="inlineStr">
        <is>
          <t>P</t>
        </is>
      </c>
      <c r="Y10" s="4" t="inlineStr">
        <is>
          <t>P</t>
        </is>
      </c>
      <c r="Z10" s="9" t="n">
        <v>10</v>
      </c>
      <c r="AA10" s="10">
        <f>AVERAGE(K10,P10,U10,Z10)</f>
        <v/>
      </c>
      <c r="AB10" s="11">
        <f>COUNTIF(G10:Z10,"P")</f>
        <v/>
      </c>
      <c r="AC10" s="12">
        <f>COUNTIF(G10:Z10,"L")</f>
        <v/>
      </c>
      <c r="AD10" s="13">
        <f>COUNTIF(G10:Z10,"A")</f>
        <v/>
      </c>
      <c r="AE10" s="14">
        <f>AB10+AC10</f>
        <v/>
      </c>
      <c r="AF10" s="8">
        <f>AE10/16*10</f>
        <v/>
      </c>
      <c r="AG10" s="8">
        <f>AA10</f>
        <v/>
      </c>
      <c r="AH10" s="8" t="n">
        <v>18</v>
      </c>
      <c r="AI10" s="5" t="n"/>
    </row>
    <row r="11">
      <c r="A11" s="50" t="n"/>
      <c r="B11" s="4" t="n">
        <v>3</v>
      </c>
      <c r="C11" s="4" t="n">
        <v>3</v>
      </c>
      <c r="D11" s="7" t="inlineStr">
        <is>
          <t>حمد ابراهيم على محمد المستكاء</t>
        </is>
      </c>
      <c r="E11" s="15" t="inlineStr">
        <is>
          <t>NA</t>
        </is>
      </c>
      <c r="F11" s="15" t="inlineStr">
        <is>
          <t>NA</t>
        </is>
      </c>
      <c r="G11" s="4" t="inlineStr">
        <is>
          <t>P</t>
        </is>
      </c>
      <c r="H11" s="4" t="inlineStr">
        <is>
          <t>P</t>
        </is>
      </c>
      <c r="I11" s="4" t="inlineStr">
        <is>
          <t>P</t>
        </is>
      </c>
      <c r="J11" s="4" t="inlineStr">
        <is>
          <t>A</t>
        </is>
      </c>
      <c r="K11" s="9" t="n">
        <v>5</v>
      </c>
      <c r="L11" s="4" t="inlineStr">
        <is>
          <t>A</t>
        </is>
      </c>
      <c r="M11" s="4" t="inlineStr">
        <is>
          <t>A</t>
        </is>
      </c>
      <c r="N11" s="4" t="inlineStr">
        <is>
          <t>P</t>
        </is>
      </c>
      <c r="O11" s="4" t="inlineStr">
        <is>
          <t>P</t>
        </is>
      </c>
      <c r="P11" s="9" t="n">
        <v>5</v>
      </c>
      <c r="Q11" s="4" t="inlineStr">
        <is>
          <t>a</t>
        </is>
      </c>
      <c r="R11" s="4" t="inlineStr">
        <is>
          <t>A</t>
        </is>
      </c>
      <c r="S11" s="4" t="inlineStr">
        <is>
          <t>P</t>
        </is>
      </c>
      <c r="T11" s="4" t="inlineStr">
        <is>
          <t>P</t>
        </is>
      </c>
      <c r="U11" s="9" t="n">
        <v>5</v>
      </c>
      <c r="V11" s="4" t="inlineStr">
        <is>
          <t>a</t>
        </is>
      </c>
      <c r="W11" s="4" t="inlineStr">
        <is>
          <t>A</t>
        </is>
      </c>
      <c r="X11" s="4" t="inlineStr">
        <is>
          <t>a</t>
        </is>
      </c>
      <c r="Y11" s="4" t="inlineStr">
        <is>
          <t>a</t>
        </is>
      </c>
      <c r="Z11" s="9" t="n">
        <v>5</v>
      </c>
      <c r="AA11" s="10">
        <f>AVERAGE(K11,P11,U11,Z11)</f>
        <v/>
      </c>
      <c r="AB11" s="11">
        <f>COUNTIF(G11:Z11,"P")</f>
        <v/>
      </c>
      <c r="AC11" s="12">
        <f>COUNTIF(G11:Z11,"L")</f>
        <v/>
      </c>
      <c r="AD11" s="13">
        <f>COUNTIF(G11:Z11,"A")</f>
        <v/>
      </c>
      <c r="AE11" s="14">
        <f>AB11+AC11</f>
        <v/>
      </c>
      <c r="AF11" s="8">
        <f>AE11/16*10</f>
        <v/>
      </c>
      <c r="AG11" s="8">
        <f>AA11</f>
        <v/>
      </c>
      <c r="AH11" s="8" t="n">
        <v>18</v>
      </c>
      <c r="AI11" s="5" t="n"/>
    </row>
    <row r="12">
      <c r="A12" s="50" t="n"/>
      <c r="B12" s="4" t="n">
        <v>4</v>
      </c>
      <c r="C12" s="4" t="n">
        <v>4</v>
      </c>
      <c r="D12" s="7" t="inlineStr">
        <is>
          <t>حياة ناصر جمعه راشد الكعبي</t>
        </is>
      </c>
      <c r="E12" s="15" t="inlineStr">
        <is>
          <t>NA</t>
        </is>
      </c>
      <c r="F12" s="15" t="inlineStr">
        <is>
          <t>NA</t>
        </is>
      </c>
      <c r="G12" s="4" t="n"/>
      <c r="H12" s="4" t="n"/>
      <c r="I12" s="4" t="n"/>
      <c r="J12" s="4" t="n"/>
      <c r="K12" s="9" t="n">
        <v>0</v>
      </c>
      <c r="L12" s="4" t="n"/>
      <c r="M12" s="4" t="n"/>
      <c r="N12" s="4" t="n"/>
      <c r="O12" s="4" t="n"/>
      <c r="P12" s="9" t="n">
        <v>0</v>
      </c>
      <c r="Q12" s="4" t="n"/>
      <c r="R12" s="4" t="n"/>
      <c r="S12" s="4" t="n"/>
      <c r="T12" s="4" t="n"/>
      <c r="U12" s="9" t="n">
        <v>0</v>
      </c>
      <c r="V12" s="4" t="n"/>
      <c r="W12" s="4" t="n"/>
      <c r="X12" s="4" t="n"/>
      <c r="Y12" s="4" t="n"/>
      <c r="Z12" s="9" t="n">
        <v>0</v>
      </c>
      <c r="AA12" s="10">
        <f>AVERAGE(K12,P12,U12,Z12)</f>
        <v/>
      </c>
      <c r="AB12" s="11">
        <f>COUNTIF(G12:Z12,"P")</f>
        <v/>
      </c>
      <c r="AC12" s="12">
        <f>COUNTIF(G12:Z12,"L")</f>
        <v/>
      </c>
      <c r="AD12" s="13">
        <f>COUNTIF(G12:Z12,"A")</f>
        <v/>
      </c>
      <c r="AE12" s="14">
        <f>AB12+AC12</f>
        <v/>
      </c>
      <c r="AF12" s="8">
        <f>AE12/16*10</f>
        <v/>
      </c>
      <c r="AG12" s="8">
        <f>AA12</f>
        <v/>
      </c>
      <c r="AH12" s="8" t="n">
        <v>18</v>
      </c>
      <c r="AI12" s="5" t="n"/>
    </row>
    <row r="13">
      <c r="A13" s="50" t="n"/>
      <c r="B13" s="4" t="n">
        <v>5</v>
      </c>
      <c r="C13" s="4" t="n">
        <v>5</v>
      </c>
      <c r="D13" s="7" t="inlineStr">
        <is>
          <t>خالد ياسر احمد حسان على</t>
        </is>
      </c>
      <c r="E13" s="15" t="inlineStr">
        <is>
          <t>NA</t>
        </is>
      </c>
      <c r="F13" s="15" t="inlineStr">
        <is>
          <t>NA</t>
        </is>
      </c>
      <c r="G13" s="4" t="n"/>
      <c r="H13" s="4" t="n"/>
      <c r="I13" s="4" t="n"/>
      <c r="J13" s="4" t="n"/>
      <c r="K13" s="9" t="n">
        <v>0</v>
      </c>
      <c r="L13" s="4" t="n"/>
      <c r="M13" s="4" t="n"/>
      <c r="N13" s="4" t="n"/>
      <c r="O13" s="4" t="n"/>
      <c r="P13" s="9" t="n">
        <v>0</v>
      </c>
      <c r="Q13" s="4" t="n"/>
      <c r="R13" s="4" t="n"/>
      <c r="S13" s="4" t="n"/>
      <c r="T13" s="4" t="n"/>
      <c r="U13" s="9" t="n">
        <v>0</v>
      </c>
      <c r="V13" s="4" t="n"/>
      <c r="W13" s="4" t="n"/>
      <c r="X13" s="4" t="n"/>
      <c r="Y13" s="4" t="n"/>
      <c r="Z13" s="9" t="n">
        <v>0</v>
      </c>
      <c r="AA13" s="10">
        <f>AVERAGE(K13,P13,U13,Z13)</f>
        <v/>
      </c>
      <c r="AB13" s="11">
        <f>COUNTIF(G13:Z13,"P")</f>
        <v/>
      </c>
      <c r="AC13" s="12">
        <f>COUNTIF(G13:Z13,"L")</f>
        <v/>
      </c>
      <c r="AD13" s="13">
        <f>COUNTIF(G13:Z13,"A")</f>
        <v/>
      </c>
      <c r="AE13" s="14">
        <f>AB13+AC13</f>
        <v/>
      </c>
      <c r="AF13" s="8">
        <f>AE13/16*10</f>
        <v/>
      </c>
      <c r="AG13" s="8">
        <f>AA13</f>
        <v/>
      </c>
      <c r="AH13" s="8" t="n">
        <v>20</v>
      </c>
      <c r="AI13" s="5" t="n"/>
    </row>
    <row r="14">
      <c r="A14" s="50" t="n"/>
      <c r="B14" s="4" t="n">
        <v>6</v>
      </c>
      <c r="C14" s="4" t="n">
        <v>6</v>
      </c>
      <c r="D14" s="7" t="inlineStr">
        <is>
          <t>زايد حمدان محمد ناجى احمد</t>
        </is>
      </c>
      <c r="E14" s="15" t="inlineStr">
        <is>
          <t>NA</t>
        </is>
      </c>
      <c r="F14" s="15" t="inlineStr">
        <is>
          <t>NA</t>
        </is>
      </c>
      <c r="G14" s="4" t="n"/>
      <c r="H14" s="4" t="n"/>
      <c r="I14" s="4" t="n"/>
      <c r="J14" s="4" t="n"/>
      <c r="K14" s="9" t="n">
        <v>0</v>
      </c>
      <c r="L14" s="4" t="n"/>
      <c r="M14" s="4" t="n"/>
      <c r="N14" s="4" t="n"/>
      <c r="O14" s="4" t="n"/>
      <c r="P14" s="9" t="n">
        <v>0</v>
      </c>
      <c r="Q14" s="4" t="n"/>
      <c r="R14" s="4" t="n"/>
      <c r="S14" s="4" t="n"/>
      <c r="T14" s="4" t="n"/>
      <c r="U14" s="9" t="n">
        <v>0</v>
      </c>
      <c r="V14" s="4" t="n"/>
      <c r="W14" s="4" t="n"/>
      <c r="X14" s="4" t="n"/>
      <c r="Y14" s="4" t="n"/>
      <c r="Z14" s="9" t="n">
        <v>0</v>
      </c>
      <c r="AA14" s="10">
        <f>AVERAGE(K14,P14,U14,Z14)</f>
        <v/>
      </c>
      <c r="AB14" s="11">
        <f>COUNTIF(G14:Z14,"P")</f>
        <v/>
      </c>
      <c r="AC14" s="12">
        <f>COUNTIF(G14:Z14,"L")</f>
        <v/>
      </c>
      <c r="AD14" s="13">
        <f>COUNTIF(G14:Z14,"A")</f>
        <v/>
      </c>
      <c r="AE14" s="14">
        <f>AB14+AC14</f>
        <v/>
      </c>
      <c r="AF14" s="8">
        <f>AE14/16*10</f>
        <v/>
      </c>
      <c r="AG14" s="8">
        <f>AA14</f>
        <v/>
      </c>
      <c r="AH14" s="8" t="n">
        <v>18</v>
      </c>
      <c r="AI14" s="5" t="n"/>
    </row>
    <row r="15">
      <c r="A15" s="50" t="n"/>
      <c r="B15" s="4" t="n">
        <v>7</v>
      </c>
      <c r="C15" s="4" t="n">
        <v>7</v>
      </c>
      <c r="D15" s="7" t="inlineStr">
        <is>
          <t>سالم سليمان على محمد الكربي</t>
        </is>
      </c>
      <c r="E15" s="15" t="inlineStr">
        <is>
          <t>NA</t>
        </is>
      </c>
      <c r="F15" s="15" t="inlineStr">
        <is>
          <t>NA</t>
        </is>
      </c>
      <c r="G15" s="4" t="n"/>
      <c r="H15" s="4" t="n"/>
      <c r="I15" s="4" t="n"/>
      <c r="J15" s="4" t="n"/>
      <c r="K15" s="9" t="n">
        <v>0</v>
      </c>
      <c r="L15" s="4" t="n"/>
      <c r="M15" s="4" t="n"/>
      <c r="N15" s="4" t="n"/>
      <c r="O15" s="4" t="n"/>
      <c r="P15" s="9" t="n">
        <v>0</v>
      </c>
      <c r="Q15" s="4" t="n"/>
      <c r="R15" s="4" t="n"/>
      <c r="S15" s="4" t="n"/>
      <c r="T15" s="4" t="n"/>
      <c r="U15" s="9" t="n">
        <v>0</v>
      </c>
      <c r="V15" s="4" t="n"/>
      <c r="W15" s="4" t="n"/>
      <c r="X15" s="4" t="n"/>
      <c r="Y15" s="4" t="n"/>
      <c r="Z15" s="9" t="n">
        <v>0</v>
      </c>
      <c r="AA15" s="10">
        <f>AVERAGE(K15,P15,U15,Z15)</f>
        <v/>
      </c>
      <c r="AB15" s="11">
        <f>COUNTIF(G15:Z15,"P")</f>
        <v/>
      </c>
      <c r="AC15" s="12">
        <f>COUNTIF(G15:Z15,"L")</f>
        <v/>
      </c>
      <c r="AD15" s="13">
        <f>COUNTIF(G15:Z15,"A")</f>
        <v/>
      </c>
      <c r="AE15" s="14">
        <f>AB15+AC15</f>
        <v/>
      </c>
      <c r="AF15" s="8">
        <f>AE15/16*10</f>
        <v/>
      </c>
      <c r="AG15" s="8">
        <f>AA15</f>
        <v/>
      </c>
      <c r="AH15" s="8" t="n">
        <v>19</v>
      </c>
      <c r="AI15" s="5" t="n"/>
    </row>
    <row r="16">
      <c r="A16" s="50" t="n"/>
      <c r="B16" s="4" t="n">
        <v>8</v>
      </c>
      <c r="C16" s="4" t="n">
        <v>8</v>
      </c>
      <c r="D16" s="7" t="inlineStr">
        <is>
          <t>سعيد سالم عبدالله محمد الكعبي</t>
        </is>
      </c>
      <c r="E16" s="15" t="inlineStr">
        <is>
          <t>NA</t>
        </is>
      </c>
      <c r="F16" s="15" t="inlineStr">
        <is>
          <t>NA</t>
        </is>
      </c>
      <c r="G16" s="4" t="n"/>
      <c r="H16" s="4" t="n"/>
      <c r="I16" s="4" t="n"/>
      <c r="J16" s="4" t="n"/>
      <c r="K16" s="9" t="n">
        <v>0</v>
      </c>
      <c r="L16" s="4" t="n"/>
      <c r="M16" s="4" t="n"/>
      <c r="N16" s="4" t="n"/>
      <c r="O16" s="4" t="n"/>
      <c r="P16" s="9" t="n">
        <v>0</v>
      </c>
      <c r="Q16" s="4" t="n"/>
      <c r="R16" s="4" t="n"/>
      <c r="S16" s="4" t="n"/>
      <c r="T16" s="4" t="n"/>
      <c r="U16" s="9" t="n">
        <v>0</v>
      </c>
      <c r="V16" s="4" t="n"/>
      <c r="W16" s="4" t="n"/>
      <c r="X16" s="4" t="n"/>
      <c r="Y16" s="4" t="n"/>
      <c r="Z16" s="9" t="n">
        <v>0</v>
      </c>
      <c r="AA16" s="10">
        <f>AVERAGE(K16,P16,U16,Z16)</f>
        <v/>
      </c>
      <c r="AB16" s="11">
        <f>COUNTIF(G16:Z16,"P")</f>
        <v/>
      </c>
      <c r="AC16" s="12">
        <f>COUNTIF(G16:Z16,"L")</f>
        <v/>
      </c>
      <c r="AD16" s="13">
        <f>COUNTIF(G16:Z16,"A")</f>
        <v/>
      </c>
      <c r="AE16" s="14">
        <f>AB16+AC16</f>
        <v/>
      </c>
      <c r="AF16" s="8">
        <f>AE16/16*10</f>
        <v/>
      </c>
      <c r="AG16" s="8">
        <f>AA16</f>
        <v/>
      </c>
      <c r="AH16" s="8" t="n">
        <v>19</v>
      </c>
      <c r="AI16" s="5" t="n"/>
    </row>
    <row r="17">
      <c r="A17" s="50" t="n"/>
      <c r="B17" s="4" t="n">
        <v>9</v>
      </c>
      <c r="C17" s="4" t="n">
        <v>9</v>
      </c>
      <c r="D17" s="7" t="inlineStr">
        <is>
          <t>سلطان بن صالح بن عبدالله بن احمد البريكي</t>
        </is>
      </c>
      <c r="E17" s="15" t="inlineStr">
        <is>
          <t>NA</t>
        </is>
      </c>
      <c r="F17" s="15" t="inlineStr">
        <is>
          <t>NA</t>
        </is>
      </c>
      <c r="G17" s="4" t="n"/>
      <c r="H17" s="4" t="n"/>
      <c r="I17" s="4" t="n"/>
      <c r="J17" s="4" t="n"/>
      <c r="K17" s="9" t="n">
        <v>0</v>
      </c>
      <c r="L17" s="4" t="n"/>
      <c r="M17" s="4" t="n"/>
      <c r="N17" s="4" t="n"/>
      <c r="O17" s="4" t="n"/>
      <c r="P17" s="9" t="n">
        <v>0</v>
      </c>
      <c r="Q17" s="4" t="n"/>
      <c r="R17" s="4" t="n"/>
      <c r="S17" s="4" t="n"/>
      <c r="T17" s="4" t="n"/>
      <c r="U17" s="9" t="n">
        <v>0</v>
      </c>
      <c r="V17" s="4" t="n"/>
      <c r="W17" s="4" t="n"/>
      <c r="X17" s="4" t="n"/>
      <c r="Y17" s="4" t="n"/>
      <c r="Z17" s="9" t="n">
        <v>0</v>
      </c>
      <c r="AA17" s="10">
        <f>AVERAGE(K17,P17,U17,Z17)</f>
        <v/>
      </c>
      <c r="AB17" s="11">
        <f>COUNTIF(G17:Z17,"P")</f>
        <v/>
      </c>
      <c r="AC17" s="12">
        <f>COUNTIF(G17:Z17,"L")</f>
        <v/>
      </c>
      <c r="AD17" s="13">
        <f>COUNTIF(G17:Z17,"A")</f>
        <v/>
      </c>
      <c r="AE17" s="14">
        <f>AB17+AC17</f>
        <v/>
      </c>
      <c r="AF17" s="8">
        <f>AE17/16*10</f>
        <v/>
      </c>
      <c r="AG17" s="8">
        <f>AA17</f>
        <v/>
      </c>
      <c r="AH17" s="8" t="n">
        <v>20</v>
      </c>
      <c r="AI17" s="5" t="n"/>
    </row>
    <row r="18">
      <c r="A18" s="50" t="n"/>
      <c r="B18" s="4" t="n">
        <v>10</v>
      </c>
      <c r="C18" s="4" t="n">
        <v>10</v>
      </c>
      <c r="D18" s="7" t="inlineStr">
        <is>
          <t>سلمان سالم احمد سالم المنصوري</t>
        </is>
      </c>
      <c r="E18" s="15" t="inlineStr">
        <is>
          <t>NA</t>
        </is>
      </c>
      <c r="F18" s="15" t="inlineStr">
        <is>
          <t>NA</t>
        </is>
      </c>
      <c r="G18" s="4" t="n"/>
      <c r="H18" s="4" t="n"/>
      <c r="I18" s="4" t="n"/>
      <c r="J18" s="4" t="n"/>
      <c r="K18" s="9" t="n">
        <v>0</v>
      </c>
      <c r="L18" s="4" t="n"/>
      <c r="M18" s="4" t="n"/>
      <c r="N18" s="4" t="n"/>
      <c r="O18" s="4" t="n"/>
      <c r="P18" s="9" t="n">
        <v>0</v>
      </c>
      <c r="Q18" s="4" t="n"/>
      <c r="R18" s="4" t="n"/>
      <c r="S18" s="4" t="n"/>
      <c r="T18" s="4" t="n"/>
      <c r="U18" s="9" t="n">
        <v>0</v>
      </c>
      <c r="V18" s="4" t="n"/>
      <c r="W18" s="4" t="n"/>
      <c r="X18" s="4" t="n"/>
      <c r="Y18" s="4" t="n"/>
      <c r="Z18" s="9" t="n">
        <v>0</v>
      </c>
      <c r="AA18" s="10">
        <f>AVERAGE(K18,P18,U18,Z18)</f>
        <v/>
      </c>
      <c r="AB18" s="11">
        <f>COUNTIF(G18:Z18,"P")</f>
        <v/>
      </c>
      <c r="AC18" s="12">
        <f>COUNTIF(G18:Z18,"L")</f>
        <v/>
      </c>
      <c r="AD18" s="13">
        <f>COUNTIF(G18:Z18,"A")</f>
        <v/>
      </c>
      <c r="AE18" s="14">
        <f>AB18+AC18</f>
        <v/>
      </c>
      <c r="AF18" s="8">
        <f>AE18/16*10</f>
        <v/>
      </c>
      <c r="AG18" s="8">
        <f>AA18</f>
        <v/>
      </c>
      <c r="AH18" s="8" t="n">
        <v>18</v>
      </c>
      <c r="AI18" s="5" t="n"/>
    </row>
    <row r="19">
      <c r="A19" s="50" t="n"/>
      <c r="B19" s="4" t="n">
        <v>11</v>
      </c>
      <c r="C19" s="4" t="n">
        <v>11</v>
      </c>
      <c r="D19" s="7" t="inlineStr">
        <is>
          <t>شمسه عمران محمد شيبان المهيري</t>
        </is>
      </c>
      <c r="E19" s="15" t="inlineStr">
        <is>
          <t>NA</t>
        </is>
      </c>
      <c r="F19" s="15" t="inlineStr">
        <is>
          <t>NA</t>
        </is>
      </c>
      <c r="G19" s="4" t="n"/>
      <c r="H19" s="4" t="n"/>
      <c r="I19" s="4" t="n"/>
      <c r="J19" s="4" t="n"/>
      <c r="K19" s="9" t="n">
        <v>0</v>
      </c>
      <c r="L19" s="4" t="n"/>
      <c r="M19" s="4" t="n"/>
      <c r="N19" s="4" t="n"/>
      <c r="O19" s="4" t="n"/>
      <c r="P19" s="9" t="n">
        <v>0</v>
      </c>
      <c r="Q19" s="4" t="n"/>
      <c r="R19" s="4" t="n"/>
      <c r="S19" s="4" t="n"/>
      <c r="T19" s="4" t="n"/>
      <c r="U19" s="9" t="n">
        <v>0</v>
      </c>
      <c r="V19" s="4" t="n"/>
      <c r="W19" s="4" t="n"/>
      <c r="X19" s="4" t="n"/>
      <c r="Y19" s="4" t="n"/>
      <c r="Z19" s="9" t="n">
        <v>0</v>
      </c>
      <c r="AA19" s="10">
        <f>AVERAGE(K19,P19,U19,Z19)</f>
        <v/>
      </c>
      <c r="AB19" s="11">
        <f>COUNTIF(G19:Z19,"P")</f>
        <v/>
      </c>
      <c r="AC19" s="12">
        <f>COUNTIF(G19:Z19,"L")</f>
        <v/>
      </c>
      <c r="AD19" s="13">
        <f>COUNTIF(G19:Z19,"A")</f>
        <v/>
      </c>
      <c r="AE19" s="14">
        <f>AB19+AC19</f>
        <v/>
      </c>
      <c r="AF19" s="8">
        <f>AE19/16*10</f>
        <v/>
      </c>
      <c r="AG19" s="8">
        <f>AA19</f>
        <v/>
      </c>
      <c r="AH19" s="8" t="n">
        <v>18</v>
      </c>
      <c r="AI19" s="5" t="n"/>
    </row>
    <row r="20">
      <c r="A20" s="50" t="n"/>
      <c r="B20" s="4" t="n">
        <v>12</v>
      </c>
      <c r="C20" s="4" t="n">
        <v>12</v>
      </c>
      <c r="D20" s="7" t="inlineStr">
        <is>
          <t>شيخة هداف رضوان عيضة المنهالي</t>
        </is>
      </c>
      <c r="E20" s="15" t="inlineStr">
        <is>
          <t>NA</t>
        </is>
      </c>
      <c r="F20" s="15" t="inlineStr">
        <is>
          <t>NA</t>
        </is>
      </c>
      <c r="G20" s="4" t="n"/>
      <c r="H20" s="4" t="n"/>
      <c r="I20" s="4" t="n"/>
      <c r="J20" s="4" t="n"/>
      <c r="K20" s="9" t="n">
        <v>0</v>
      </c>
      <c r="L20" s="4" t="n"/>
      <c r="M20" s="4" t="n"/>
      <c r="N20" s="4" t="n"/>
      <c r="O20" s="4" t="n"/>
      <c r="P20" s="9" t="n">
        <v>0</v>
      </c>
      <c r="Q20" s="4" t="n"/>
      <c r="R20" s="4" t="n"/>
      <c r="S20" s="4" t="n"/>
      <c r="T20" s="4" t="n"/>
      <c r="U20" s="9" t="n">
        <v>0</v>
      </c>
      <c r="V20" s="4" t="n"/>
      <c r="W20" s="4" t="n"/>
      <c r="X20" s="4" t="n"/>
      <c r="Y20" s="4" t="n"/>
      <c r="Z20" s="9" t="n">
        <v>0</v>
      </c>
      <c r="AA20" s="10">
        <f>AVERAGE(K20,P20,U20,Z20)</f>
        <v/>
      </c>
      <c r="AB20" s="11">
        <f>COUNTIF(G20:Z20,"P")</f>
        <v/>
      </c>
      <c r="AC20" s="12">
        <f>COUNTIF(G20:Z20,"L")</f>
        <v/>
      </c>
      <c r="AD20" s="13">
        <f>COUNTIF(G20:Z20,"A")</f>
        <v/>
      </c>
      <c r="AE20" s="14">
        <f>AB20+AC20</f>
        <v/>
      </c>
      <c r="AF20" s="8">
        <f>AE20/16*10</f>
        <v/>
      </c>
      <c r="AG20" s="8">
        <f>AA20</f>
        <v/>
      </c>
      <c r="AH20" s="8" t="n">
        <v>18</v>
      </c>
      <c r="AI20" s="5" t="n"/>
    </row>
    <row r="21">
      <c r="A21" s="50" t="n"/>
      <c r="B21" s="4" t="n">
        <v>13</v>
      </c>
      <c r="C21" s="4" t="n">
        <v>13</v>
      </c>
      <c r="D21" s="7" t="inlineStr">
        <is>
          <t>عبدالرحمن سعيد محمد سالم الساعدي</t>
        </is>
      </c>
      <c r="E21" s="15" t="inlineStr">
        <is>
          <t>NA</t>
        </is>
      </c>
      <c r="F21" s="15" t="inlineStr">
        <is>
          <t>NA</t>
        </is>
      </c>
      <c r="G21" s="4" t="n"/>
      <c r="H21" s="4" t="n"/>
      <c r="I21" s="4" t="n"/>
      <c r="J21" s="4" t="n"/>
      <c r="K21" s="9" t="n">
        <v>0</v>
      </c>
      <c r="L21" s="4" t="n"/>
      <c r="M21" s="4" t="n"/>
      <c r="N21" s="4" t="n"/>
      <c r="O21" s="4" t="n"/>
      <c r="P21" s="9" t="n">
        <v>0</v>
      </c>
      <c r="Q21" s="4" t="n"/>
      <c r="R21" s="4" t="n"/>
      <c r="S21" s="4" t="n"/>
      <c r="T21" s="4" t="n"/>
      <c r="U21" s="9" t="n">
        <v>0</v>
      </c>
      <c r="V21" s="4" t="n"/>
      <c r="W21" s="4" t="n"/>
      <c r="X21" s="4" t="n"/>
      <c r="Y21" s="4" t="n"/>
      <c r="Z21" s="9" t="n">
        <v>0</v>
      </c>
      <c r="AA21" s="10">
        <f>AVERAGE(K21,P21,U21,Z21)</f>
        <v/>
      </c>
      <c r="AB21" s="11">
        <f>COUNTIF(G21:Z21,"P")</f>
        <v/>
      </c>
      <c r="AC21" s="12">
        <f>COUNTIF(G21:Z21,"L")</f>
        <v/>
      </c>
      <c r="AD21" s="13">
        <f>COUNTIF(G21:Z21,"A")</f>
        <v/>
      </c>
      <c r="AE21" s="14">
        <f>AB21+AC21</f>
        <v/>
      </c>
      <c r="AF21" s="8">
        <f>AE21/16*10</f>
        <v/>
      </c>
      <c r="AG21" s="8">
        <f>AA21</f>
        <v/>
      </c>
      <c r="AH21" s="8" t="n">
        <v>19</v>
      </c>
      <c r="AI21" s="5" t="n"/>
    </row>
    <row r="22">
      <c r="A22" s="50" t="n"/>
      <c r="B22" s="4" t="n">
        <v>14</v>
      </c>
      <c r="C22" s="4" t="n">
        <v>14</v>
      </c>
      <c r="D22" s="7" t="inlineStr">
        <is>
          <t>عبدالله بدر حسين عيسى</t>
        </is>
      </c>
      <c r="E22" s="15" t="inlineStr">
        <is>
          <t>NA</t>
        </is>
      </c>
      <c r="F22" s="15" t="inlineStr">
        <is>
          <t>NA</t>
        </is>
      </c>
      <c r="G22" s="4" t="n"/>
      <c r="H22" s="4" t="n"/>
      <c r="I22" s="4" t="n"/>
      <c r="J22" s="4" t="n"/>
      <c r="K22" s="9" t="n">
        <v>0</v>
      </c>
      <c r="L22" s="4" t="n"/>
      <c r="M22" s="4" t="n"/>
      <c r="N22" s="4" t="n"/>
      <c r="O22" s="4" t="n"/>
      <c r="P22" s="9" t="n">
        <v>0</v>
      </c>
      <c r="Q22" s="4" t="n"/>
      <c r="R22" s="4" t="n"/>
      <c r="S22" s="4" t="n"/>
      <c r="T22" s="4" t="n"/>
      <c r="U22" s="9" t="n">
        <v>0</v>
      </c>
      <c r="V22" s="4" t="n"/>
      <c r="W22" s="4" t="n"/>
      <c r="X22" s="4" t="n"/>
      <c r="Y22" s="4" t="n"/>
      <c r="Z22" s="9" t="n">
        <v>0</v>
      </c>
      <c r="AA22" s="10">
        <f>AVERAGE(K22,P22,U22,Z22)</f>
        <v/>
      </c>
      <c r="AB22" s="11">
        <f>COUNTIF(G22:Z22,"P")</f>
        <v/>
      </c>
      <c r="AC22" s="12">
        <f>COUNTIF(G22:Z22,"L")</f>
        <v/>
      </c>
      <c r="AD22" s="13">
        <f>COUNTIF(G22:Z22,"A")</f>
        <v/>
      </c>
      <c r="AE22" s="14">
        <f>AB22+AC22</f>
        <v/>
      </c>
      <c r="AF22" s="8">
        <f>AE22/16*10</f>
        <v/>
      </c>
      <c r="AG22" s="8">
        <f>AA22</f>
        <v/>
      </c>
      <c r="AH22" s="8" t="n">
        <v>19</v>
      </c>
      <c r="AI22" s="5" t="n"/>
    </row>
    <row r="23">
      <c r="A23" s="50" t="n"/>
      <c r="B23" s="4" t="n">
        <v>15</v>
      </c>
      <c r="C23" s="4" t="n">
        <v>15</v>
      </c>
      <c r="D23" s="7" t="inlineStr">
        <is>
          <t>عمر بن أحمد بن محمد بن مبروك الدهماني</t>
        </is>
      </c>
      <c r="E23" s="15" t="inlineStr">
        <is>
          <t>NA</t>
        </is>
      </c>
      <c r="F23" s="15" t="inlineStr">
        <is>
          <t>NA</t>
        </is>
      </c>
      <c r="G23" s="4" t="n"/>
      <c r="H23" s="4" t="n"/>
      <c r="I23" s="4" t="n"/>
      <c r="J23" s="4" t="n"/>
      <c r="K23" s="9" t="n">
        <v>0</v>
      </c>
      <c r="L23" s="4" t="n"/>
      <c r="M23" s="4" t="n"/>
      <c r="N23" s="4" t="n"/>
      <c r="O23" s="4" t="n"/>
      <c r="P23" s="9" t="n">
        <v>0</v>
      </c>
      <c r="Q23" s="4" t="n"/>
      <c r="R23" s="4" t="n"/>
      <c r="S23" s="4" t="n"/>
      <c r="T23" s="4" t="n"/>
      <c r="U23" s="9" t="n">
        <v>0</v>
      </c>
      <c r="V23" s="4" t="n"/>
      <c r="W23" s="4" t="n"/>
      <c r="X23" s="4" t="n"/>
      <c r="Y23" s="4" t="n"/>
      <c r="Z23" s="9" t="n">
        <v>0</v>
      </c>
      <c r="AA23" s="10">
        <f>AVERAGE(K23,P23,U23,Z23)</f>
        <v/>
      </c>
      <c r="AB23" s="11">
        <f>COUNTIF(G23:Z23,"P")</f>
        <v/>
      </c>
      <c r="AC23" s="12">
        <f>COUNTIF(G23:Z23,"L")</f>
        <v/>
      </c>
      <c r="AD23" s="13">
        <f>COUNTIF(G23:Z23,"A")</f>
        <v/>
      </c>
      <c r="AE23" s="14">
        <f>AB23+AC23</f>
        <v/>
      </c>
      <c r="AF23" s="8">
        <f>AE23/16*10</f>
        <v/>
      </c>
      <c r="AG23" s="8">
        <f>AA23</f>
        <v/>
      </c>
      <c r="AH23" s="8" t="n">
        <v>18</v>
      </c>
      <c r="AI23" s="5" t="n"/>
    </row>
    <row r="24">
      <c r="A24" s="50" t="n"/>
      <c r="B24" s="4" t="n">
        <v>16</v>
      </c>
      <c r="C24" s="4" t="n">
        <v>16</v>
      </c>
      <c r="D24" s="7" t="inlineStr">
        <is>
          <t>فاطمه محمد سعيد سالم الشامسي</t>
        </is>
      </c>
      <c r="E24" s="15" t="inlineStr">
        <is>
          <t>NA</t>
        </is>
      </c>
      <c r="F24" s="15" t="inlineStr">
        <is>
          <t>NA</t>
        </is>
      </c>
      <c r="G24" s="4" t="n"/>
      <c r="H24" s="4" t="n"/>
      <c r="I24" s="4" t="n"/>
      <c r="J24" s="4" t="n"/>
      <c r="K24" s="9" t="n">
        <v>0</v>
      </c>
      <c r="L24" s="4" t="n"/>
      <c r="M24" s="4" t="n"/>
      <c r="N24" s="4" t="n"/>
      <c r="O24" s="4" t="n"/>
      <c r="P24" s="9" t="n">
        <v>0</v>
      </c>
      <c r="Q24" s="4" t="n"/>
      <c r="R24" s="4" t="n"/>
      <c r="S24" s="4" t="n"/>
      <c r="T24" s="4" t="n"/>
      <c r="U24" s="9" t="n">
        <v>0</v>
      </c>
      <c r="V24" s="4" t="n"/>
      <c r="W24" s="4" t="n"/>
      <c r="X24" s="4" t="n"/>
      <c r="Y24" s="4" t="n"/>
      <c r="Z24" s="9" t="n">
        <v>0</v>
      </c>
      <c r="AA24" s="10">
        <f>AVERAGE(K24,P24,U24,Z24)</f>
        <v/>
      </c>
      <c r="AB24" s="11">
        <f>COUNTIF(G24:Z24,"P")</f>
        <v/>
      </c>
      <c r="AC24" s="12">
        <f>COUNTIF(G24:Z24,"L")</f>
        <v/>
      </c>
      <c r="AD24" s="13">
        <f>COUNTIF(G24:Z24,"A")</f>
        <v/>
      </c>
      <c r="AE24" s="14">
        <f>AB24+AC24</f>
        <v/>
      </c>
      <c r="AF24" s="8">
        <f>AE24/16*10</f>
        <v/>
      </c>
      <c r="AG24" s="8">
        <f>AA24</f>
        <v/>
      </c>
      <c r="AH24" s="8" t="n">
        <v>20</v>
      </c>
      <c r="AI24" s="5" t="n"/>
    </row>
    <row r="25">
      <c r="A25" s="50" t="n"/>
      <c r="B25" s="4" t="n">
        <v>17</v>
      </c>
      <c r="C25" s="4" t="n">
        <v>17</v>
      </c>
      <c r="D25" s="7" t="inlineStr">
        <is>
          <t>مثايل خالد ناصر راشد الساعدي</t>
        </is>
      </c>
      <c r="E25" s="15" t="inlineStr">
        <is>
          <t>NA</t>
        </is>
      </c>
      <c r="F25" s="15" t="inlineStr">
        <is>
          <t>NA</t>
        </is>
      </c>
      <c r="G25" s="4" t="n"/>
      <c r="H25" s="4" t="n"/>
      <c r="I25" s="4" t="n"/>
      <c r="J25" s="4" t="n"/>
      <c r="K25" s="9" t="n">
        <v>0</v>
      </c>
      <c r="L25" s="4" t="n"/>
      <c r="M25" s="4" t="n"/>
      <c r="N25" s="4" t="n"/>
      <c r="O25" s="4" t="n"/>
      <c r="P25" s="9" t="n">
        <v>0</v>
      </c>
      <c r="Q25" s="4" t="n"/>
      <c r="R25" s="4" t="n"/>
      <c r="S25" s="4" t="n"/>
      <c r="T25" s="4" t="n"/>
      <c r="U25" s="9" t="n">
        <v>0</v>
      </c>
      <c r="V25" s="4" t="n"/>
      <c r="W25" s="4" t="n"/>
      <c r="X25" s="4" t="n"/>
      <c r="Y25" s="4" t="n"/>
      <c r="Z25" s="9" t="n">
        <v>0</v>
      </c>
      <c r="AA25" s="10">
        <f>AVERAGE(K25,P25,U25,Z25)</f>
        <v/>
      </c>
      <c r="AB25" s="11">
        <f>COUNTIF(G25:Z25,"P")</f>
        <v/>
      </c>
      <c r="AC25" s="12">
        <f>COUNTIF(G25:Z25,"L")</f>
        <v/>
      </c>
      <c r="AD25" s="13">
        <f>COUNTIF(G25:Z25,"A")</f>
        <v/>
      </c>
      <c r="AE25" s="14">
        <f>AB25+AC25</f>
        <v/>
      </c>
      <c r="AF25" s="8">
        <f>AE25/16*10</f>
        <v/>
      </c>
      <c r="AG25" s="8">
        <f>AA25</f>
        <v/>
      </c>
      <c r="AH25" s="8" t="n">
        <v>18</v>
      </c>
      <c r="AI25" s="5" t="n"/>
    </row>
    <row r="26">
      <c r="A26" s="50" t="n"/>
      <c r="B26" s="4" t="n">
        <v>18</v>
      </c>
      <c r="C26" s="4" t="n">
        <v>18</v>
      </c>
      <c r="D26" s="7" t="inlineStr">
        <is>
          <t>محمد صقر محمد بجير العامري</t>
        </is>
      </c>
      <c r="E26" s="15" t="inlineStr">
        <is>
          <t>NA</t>
        </is>
      </c>
      <c r="F26" s="15" t="inlineStr">
        <is>
          <t>NA</t>
        </is>
      </c>
      <c r="G26" s="4" t="n"/>
      <c r="H26" s="4" t="n"/>
      <c r="I26" s="4" t="n"/>
      <c r="J26" s="4" t="n"/>
      <c r="K26" s="9" t="n">
        <v>0</v>
      </c>
      <c r="L26" s="4" t="n"/>
      <c r="M26" s="4" t="n"/>
      <c r="N26" s="4" t="n"/>
      <c r="O26" s="4" t="n"/>
      <c r="P26" s="9" t="n">
        <v>0</v>
      </c>
      <c r="Q26" s="4" t="n"/>
      <c r="R26" s="4" t="n"/>
      <c r="S26" s="4" t="n"/>
      <c r="T26" s="4" t="n"/>
      <c r="U26" s="9" t="n">
        <v>0</v>
      </c>
      <c r="V26" s="4" t="n"/>
      <c r="W26" s="4" t="n"/>
      <c r="X26" s="4" t="n"/>
      <c r="Y26" s="4" t="n"/>
      <c r="Z26" s="9" t="n">
        <v>0</v>
      </c>
      <c r="AA26" s="10">
        <f>AVERAGE(K26,P26,U26,Z26)</f>
        <v/>
      </c>
      <c r="AB26" s="11">
        <f>COUNTIF(G26:Z26,"P")</f>
        <v/>
      </c>
      <c r="AC26" s="12">
        <f>COUNTIF(G26:Z26,"L")</f>
        <v/>
      </c>
      <c r="AD26" s="13">
        <f>COUNTIF(G26:Z26,"A")</f>
        <v/>
      </c>
      <c r="AE26" s="14">
        <f>AB26+AC26</f>
        <v/>
      </c>
      <c r="AF26" s="8">
        <f>AE26/16*10</f>
        <v/>
      </c>
      <c r="AG26" s="8">
        <f>AA26</f>
        <v/>
      </c>
      <c r="AH26" s="8" t="n">
        <v>19</v>
      </c>
      <c r="AI26" s="5" t="n"/>
    </row>
    <row r="27">
      <c r="A27" s="50" t="n"/>
      <c r="B27" s="4" t="n">
        <v>19</v>
      </c>
      <c r="C27" s="4" t="n">
        <v>19</v>
      </c>
      <c r="D27" s="7" t="inlineStr">
        <is>
          <t>محمد عوض هادي فلاح الاحبابي</t>
        </is>
      </c>
      <c r="E27" s="15" t="inlineStr">
        <is>
          <t>NA</t>
        </is>
      </c>
      <c r="F27" s="15" t="inlineStr">
        <is>
          <t>NA</t>
        </is>
      </c>
      <c r="G27" s="4" t="n"/>
      <c r="H27" s="4" t="n"/>
      <c r="I27" s="4" t="n"/>
      <c r="J27" s="4" t="n"/>
      <c r="K27" s="9" t="n">
        <v>0</v>
      </c>
      <c r="L27" s="4" t="n"/>
      <c r="M27" s="4" t="n"/>
      <c r="N27" s="4" t="n"/>
      <c r="O27" s="4" t="n"/>
      <c r="P27" s="9" t="n">
        <v>0</v>
      </c>
      <c r="Q27" s="4" t="n"/>
      <c r="R27" s="4" t="n"/>
      <c r="S27" s="4" t="n"/>
      <c r="T27" s="4" t="n"/>
      <c r="U27" s="9" t="n">
        <v>0</v>
      </c>
      <c r="V27" s="4" t="n"/>
      <c r="W27" s="4" t="n"/>
      <c r="X27" s="4" t="n"/>
      <c r="Y27" s="4" t="n"/>
      <c r="Z27" s="9" t="n">
        <v>0</v>
      </c>
      <c r="AA27" s="10">
        <f>AVERAGE(K27,P27,U27,Z27)</f>
        <v/>
      </c>
      <c r="AB27" s="11">
        <f>COUNTIF(G27:Z27,"P")</f>
        <v/>
      </c>
      <c r="AC27" s="12">
        <f>COUNTIF(G27:Z27,"L")</f>
        <v/>
      </c>
      <c r="AD27" s="13">
        <f>COUNTIF(G27:Z27,"A")</f>
        <v/>
      </c>
      <c r="AE27" s="14">
        <f>AB27+AC27</f>
        <v/>
      </c>
      <c r="AF27" s="8">
        <f>AE27/16*10</f>
        <v/>
      </c>
      <c r="AG27" s="8">
        <f>AA27</f>
        <v/>
      </c>
      <c r="AH27" s="8" t="n">
        <v>19</v>
      </c>
      <c r="AI27" s="5" t="n"/>
    </row>
    <row r="28">
      <c r="A28" s="50" t="n"/>
      <c r="B28" s="4" t="n">
        <v>20</v>
      </c>
      <c r="C28" s="4" t="n">
        <v>20</v>
      </c>
      <c r="D28" s="7" t="inlineStr">
        <is>
          <t>مفرح سعد مسفر عبدالرحمن الأحبابي</t>
        </is>
      </c>
      <c r="E28" s="15" t="inlineStr">
        <is>
          <t>NA</t>
        </is>
      </c>
      <c r="F28" s="15" t="inlineStr">
        <is>
          <t>NA</t>
        </is>
      </c>
      <c r="G28" s="4" t="n"/>
      <c r="H28" s="4" t="n"/>
      <c r="I28" s="4" t="n"/>
      <c r="J28" s="4" t="n"/>
      <c r="K28" s="9" t="n">
        <v>0</v>
      </c>
      <c r="L28" s="4" t="n"/>
      <c r="M28" s="4" t="n"/>
      <c r="N28" s="4" t="n"/>
      <c r="O28" s="4" t="n"/>
      <c r="P28" s="9" t="n">
        <v>0</v>
      </c>
      <c r="Q28" s="4" t="n"/>
      <c r="R28" s="4" t="n"/>
      <c r="S28" s="4" t="n"/>
      <c r="T28" s="4" t="n"/>
      <c r="U28" s="9" t="n">
        <v>0</v>
      </c>
      <c r="V28" s="4" t="n"/>
      <c r="W28" s="4" t="n"/>
      <c r="X28" s="4" t="n"/>
      <c r="Y28" s="4" t="n"/>
      <c r="Z28" s="9" t="n">
        <v>0</v>
      </c>
      <c r="AA28" s="10">
        <f>AVERAGE(K28,P28,U28,Z28)</f>
        <v/>
      </c>
      <c r="AB28" s="11">
        <f>COUNTIF(G28:Z28,"P")</f>
        <v/>
      </c>
      <c r="AC28" s="12">
        <f>COUNTIF(G28:Z28,"L")</f>
        <v/>
      </c>
      <c r="AD28" s="13">
        <f>COUNTIF(G28:Z28,"A")</f>
        <v/>
      </c>
      <c r="AE28" s="14">
        <f>AB28+AC28</f>
        <v/>
      </c>
      <c r="AF28" s="8">
        <f>AE28/16*10</f>
        <v/>
      </c>
      <c r="AG28" s="8">
        <f>AA28</f>
        <v/>
      </c>
      <c r="AH28" s="8" t="n">
        <v>19</v>
      </c>
      <c r="AI28" s="5" t="n"/>
    </row>
    <row r="29">
      <c r="A29" s="50" t="n"/>
      <c r="B29" s="4" t="n">
        <v>21</v>
      </c>
      <c r="C29" s="4" t="n">
        <v>21</v>
      </c>
      <c r="D29" s="7" t="inlineStr">
        <is>
          <t>ميثاء حسين مراد على المازم</t>
        </is>
      </c>
      <c r="E29" s="15" t="inlineStr">
        <is>
          <t>NA</t>
        </is>
      </c>
      <c r="F29" s="15" t="inlineStr">
        <is>
          <t>NA</t>
        </is>
      </c>
      <c r="G29" s="4" t="n"/>
      <c r="H29" s="4" t="n"/>
      <c r="I29" s="4" t="n"/>
      <c r="J29" s="4" t="n"/>
      <c r="K29" s="9" t="n">
        <v>0</v>
      </c>
      <c r="L29" s="4" t="n"/>
      <c r="M29" s="4" t="n"/>
      <c r="N29" s="4" t="n"/>
      <c r="O29" s="4" t="n"/>
      <c r="P29" s="9" t="n">
        <v>0</v>
      </c>
      <c r="Q29" s="4" t="n"/>
      <c r="R29" s="4" t="n"/>
      <c r="S29" s="4" t="n"/>
      <c r="T29" s="4" t="n"/>
      <c r="U29" s="9" t="n">
        <v>0</v>
      </c>
      <c r="V29" s="4" t="n"/>
      <c r="W29" s="4" t="n"/>
      <c r="X29" s="4" t="n"/>
      <c r="Y29" s="4" t="n"/>
      <c r="Z29" s="9" t="n">
        <v>0</v>
      </c>
      <c r="AA29" s="10">
        <f>AVERAGE(K29,P29,U29,Z29)</f>
        <v/>
      </c>
      <c r="AB29" s="11">
        <f>COUNTIF(G29:Z29,"P")</f>
        <v/>
      </c>
      <c r="AC29" s="12">
        <f>COUNTIF(G29:Z29,"L")</f>
        <v/>
      </c>
      <c r="AD29" s="13">
        <f>COUNTIF(G29:Z29,"A")</f>
        <v/>
      </c>
      <c r="AE29" s="14">
        <f>AB29+AC29</f>
        <v/>
      </c>
      <c r="AF29" s="8">
        <f>AE29/16*10</f>
        <v/>
      </c>
      <c r="AG29" s="8">
        <f>AA29</f>
        <v/>
      </c>
      <c r="AH29" s="8" t="n">
        <v>20</v>
      </c>
      <c r="AI29" s="5" t="n"/>
    </row>
    <row r="30">
      <c r="A30" s="50" t="n"/>
      <c r="B30" s="4" t="n">
        <v>22</v>
      </c>
      <c r="C30" s="4" t="n">
        <v>22</v>
      </c>
      <c r="D30" s="7" t="inlineStr">
        <is>
          <t>ميثه جمعه خميس راشد خميس</t>
        </is>
      </c>
      <c r="E30" s="15" t="inlineStr">
        <is>
          <t>NA</t>
        </is>
      </c>
      <c r="F30" s="15" t="inlineStr">
        <is>
          <t>NA</t>
        </is>
      </c>
      <c r="G30" s="4" t="n"/>
      <c r="H30" s="4" t="n"/>
      <c r="I30" s="4" t="n"/>
      <c r="J30" s="4" t="n"/>
      <c r="K30" s="9" t="n">
        <v>0</v>
      </c>
      <c r="L30" s="4" t="n"/>
      <c r="M30" s="4" t="n"/>
      <c r="N30" s="4" t="n"/>
      <c r="O30" s="4" t="n"/>
      <c r="P30" s="9" t="n">
        <v>0</v>
      </c>
      <c r="Q30" s="4" t="n"/>
      <c r="R30" s="4" t="n"/>
      <c r="S30" s="4" t="n"/>
      <c r="T30" s="4" t="n"/>
      <c r="U30" s="9" t="n">
        <v>0</v>
      </c>
      <c r="V30" s="4" t="n"/>
      <c r="W30" s="4" t="n"/>
      <c r="X30" s="4" t="n"/>
      <c r="Y30" s="4" t="n"/>
      <c r="Z30" s="9" t="n">
        <v>0</v>
      </c>
      <c r="AA30" s="10">
        <f>AVERAGE(K30,P30,U30,Z30)</f>
        <v/>
      </c>
      <c r="AB30" s="11">
        <f>COUNTIF(G30:Z30,"P")</f>
        <v/>
      </c>
      <c r="AC30" s="12">
        <f>COUNTIF(G30:Z30,"L")</f>
        <v/>
      </c>
      <c r="AD30" s="13">
        <f>COUNTIF(G30:Z30,"A")</f>
        <v/>
      </c>
      <c r="AE30" s="14">
        <f>AB30+AC30</f>
        <v/>
      </c>
      <c r="AF30" s="8">
        <f>AE30/16*10</f>
        <v/>
      </c>
      <c r="AG30" s="8">
        <f>AA30</f>
        <v/>
      </c>
      <c r="AH30" s="8" t="n">
        <v>19</v>
      </c>
      <c r="AI30" s="5" t="n"/>
    </row>
    <row r="31">
      <c r="A31" s="50" t="n"/>
      <c r="B31" s="4" t="n">
        <v>23</v>
      </c>
      <c r="C31" s="4" t="n">
        <v>23</v>
      </c>
      <c r="D31" s="7" t="inlineStr">
        <is>
          <t>ناصر صالح سليمان مبارك العامري</t>
        </is>
      </c>
      <c r="E31" s="15" t="inlineStr">
        <is>
          <t>NA</t>
        </is>
      </c>
      <c r="F31" s="15" t="inlineStr">
        <is>
          <t>NA</t>
        </is>
      </c>
      <c r="G31" s="4" t="n"/>
      <c r="H31" s="4" t="n"/>
      <c r="I31" s="4" t="n"/>
      <c r="J31" s="4" t="n"/>
      <c r="K31" s="9" t="n">
        <v>0</v>
      </c>
      <c r="L31" s="4" t="n"/>
      <c r="M31" s="4" t="n"/>
      <c r="N31" s="4" t="n"/>
      <c r="O31" s="4" t="n"/>
      <c r="P31" s="9" t="n">
        <v>0</v>
      </c>
      <c r="Q31" s="4" t="n"/>
      <c r="R31" s="4" t="n"/>
      <c r="S31" s="4" t="n"/>
      <c r="T31" s="4" t="n"/>
      <c r="U31" s="9" t="n">
        <v>0</v>
      </c>
      <c r="V31" s="4" t="n"/>
      <c r="W31" s="4" t="n"/>
      <c r="X31" s="4" t="n"/>
      <c r="Y31" s="4" t="n"/>
      <c r="Z31" s="9" t="n">
        <v>0</v>
      </c>
      <c r="AA31" s="10">
        <f>AVERAGE(K31,P31,U31,Z31)</f>
        <v/>
      </c>
      <c r="AB31" s="11">
        <f>COUNTIF(G31:Z31,"P")</f>
        <v/>
      </c>
      <c r="AC31" s="12">
        <f>COUNTIF(G31:Z31,"L")</f>
        <v/>
      </c>
      <c r="AD31" s="13">
        <f>COUNTIF(G31:Z31,"A")</f>
        <v/>
      </c>
      <c r="AE31" s="14">
        <f>AB31+AC31</f>
        <v/>
      </c>
      <c r="AF31" s="8">
        <f>AE31/16*10</f>
        <v/>
      </c>
      <c r="AG31" s="8">
        <f>AA31</f>
        <v/>
      </c>
      <c r="AH31" s="8" t="n">
        <v>19</v>
      </c>
      <c r="AI31" s="5" t="n"/>
    </row>
    <row r="32">
      <c r="A32" s="50" t="n"/>
      <c r="B32" s="4" t="n">
        <v>24</v>
      </c>
      <c r="C32" s="4" t="n">
        <v>24</v>
      </c>
      <c r="D32" s="7" t="inlineStr">
        <is>
          <t>وجدان محمد على عبدالله الكشادى</t>
        </is>
      </c>
      <c r="E32" s="15" t="inlineStr">
        <is>
          <t>NA</t>
        </is>
      </c>
      <c r="F32" s="15" t="inlineStr">
        <is>
          <t>NA</t>
        </is>
      </c>
      <c r="G32" s="4" t="n"/>
      <c r="H32" s="4" t="n"/>
      <c r="I32" s="4" t="n"/>
      <c r="J32" s="4" t="n"/>
      <c r="K32" s="9" t="n">
        <v>0</v>
      </c>
      <c r="L32" s="4" t="n"/>
      <c r="M32" s="4" t="n"/>
      <c r="N32" s="4" t="n"/>
      <c r="O32" s="4" t="n"/>
      <c r="P32" s="9" t="n">
        <v>0</v>
      </c>
      <c r="Q32" s="4" t="n"/>
      <c r="R32" s="4" t="n"/>
      <c r="S32" s="4" t="n"/>
      <c r="T32" s="4" t="n"/>
      <c r="U32" s="9" t="n">
        <v>0</v>
      </c>
      <c r="V32" s="4" t="n"/>
      <c r="W32" s="4" t="n"/>
      <c r="X32" s="4" t="n"/>
      <c r="Y32" s="4" t="n"/>
      <c r="Z32" s="9" t="n">
        <v>0</v>
      </c>
      <c r="AA32" s="10">
        <f>AVERAGE(K32,P32,U32,Z32)</f>
        <v/>
      </c>
      <c r="AB32" s="11">
        <f>COUNTIF(G32:Z32,"P")</f>
        <v/>
      </c>
      <c r="AC32" s="12">
        <f>COUNTIF(G32:Z32,"L")</f>
        <v/>
      </c>
      <c r="AD32" s="13">
        <f>COUNTIF(G32:Z32,"A")</f>
        <v/>
      </c>
      <c r="AE32" s="14">
        <f>AB32+AC32</f>
        <v/>
      </c>
      <c r="AF32" s="8">
        <f>AE32/16*10</f>
        <v/>
      </c>
      <c r="AG32" s="8">
        <f>AA32</f>
        <v/>
      </c>
      <c r="AH32" s="8" t="n">
        <v>19</v>
      </c>
      <c r="AI32" s="5" t="n"/>
    </row>
    <row r="33">
      <c r="A33" s="50" t="n"/>
      <c r="B33" s="4" t="n">
        <v>25</v>
      </c>
      <c r="C33" s="4" t="n">
        <v>25</v>
      </c>
      <c r="D33" s="7" t="inlineStr">
        <is>
          <t>وديمه نادر سعيد مصبح الشامسى</t>
        </is>
      </c>
      <c r="E33" s="15" t="inlineStr">
        <is>
          <t>NA</t>
        </is>
      </c>
      <c r="F33" s="15" t="inlineStr">
        <is>
          <t>NA</t>
        </is>
      </c>
      <c r="G33" s="4" t="n"/>
      <c r="H33" s="4" t="n"/>
      <c r="I33" s="4" t="n"/>
      <c r="J33" s="4" t="n"/>
      <c r="K33" s="9" t="n">
        <v>0</v>
      </c>
      <c r="L33" s="4" t="n"/>
      <c r="M33" s="4" t="n"/>
      <c r="N33" s="4" t="n"/>
      <c r="O33" s="4" t="n"/>
      <c r="P33" s="9" t="n">
        <v>0</v>
      </c>
      <c r="Q33" s="4" t="n"/>
      <c r="R33" s="4" t="n"/>
      <c r="S33" s="4" t="n"/>
      <c r="T33" s="4" t="n"/>
      <c r="U33" s="9" t="n">
        <v>0</v>
      </c>
      <c r="V33" s="4" t="n"/>
      <c r="W33" s="4" t="n"/>
      <c r="X33" s="4" t="n"/>
      <c r="Y33" s="4" t="n"/>
      <c r="Z33" s="9" t="n">
        <v>0</v>
      </c>
      <c r="AA33" s="10">
        <f>AVERAGE(K33,P33,U33,Z33)</f>
        <v/>
      </c>
      <c r="AB33" s="11">
        <f>COUNTIF(G33:Z33,"P")</f>
        <v/>
      </c>
      <c r="AC33" s="12">
        <f>COUNTIF(G33:Z33,"L")</f>
        <v/>
      </c>
      <c r="AD33" s="13">
        <f>COUNTIF(G33:Z33,"A")</f>
        <v/>
      </c>
      <c r="AE33" s="14">
        <f>AB33+AC33</f>
        <v/>
      </c>
      <c r="AF33" s="8">
        <f>AE33/16*10</f>
        <v/>
      </c>
      <c r="AG33" s="8">
        <f>AA33</f>
        <v/>
      </c>
      <c r="AH33" s="8" t="n">
        <v>19</v>
      </c>
      <c r="AI33" s="5" t="n"/>
    </row>
    <row r="34">
      <c r="A34" s="50" t="n"/>
      <c r="B34" s="4" t="n">
        <v>26</v>
      </c>
      <c r="C34" s="4" t="n">
        <v>26</v>
      </c>
      <c r="D34" s="7" t="inlineStr">
        <is>
          <t>يوسف حمد على نصر ال صلاح</t>
        </is>
      </c>
      <c r="E34" s="15" t="inlineStr">
        <is>
          <t>NA</t>
        </is>
      </c>
      <c r="F34" s="15" t="inlineStr">
        <is>
          <t>NA</t>
        </is>
      </c>
      <c r="G34" s="4" t="n"/>
      <c r="H34" s="4" t="n"/>
      <c r="I34" s="4" t="n"/>
      <c r="J34" s="4" t="n"/>
      <c r="K34" s="9" t="n">
        <v>0</v>
      </c>
      <c r="L34" s="4" t="n"/>
      <c r="M34" s="4" t="n"/>
      <c r="N34" s="4" t="n"/>
      <c r="O34" s="4" t="n"/>
      <c r="P34" s="9" t="n">
        <v>0</v>
      </c>
      <c r="Q34" s="4" t="n"/>
      <c r="R34" s="4" t="n"/>
      <c r="S34" s="4" t="n"/>
      <c r="T34" s="4" t="n"/>
      <c r="U34" s="9" t="n">
        <v>0</v>
      </c>
      <c r="V34" s="4" t="n"/>
      <c r="W34" s="4" t="n"/>
      <c r="X34" s="4" t="n"/>
      <c r="Y34" s="4" t="n"/>
      <c r="Z34" s="9" t="n">
        <v>0</v>
      </c>
      <c r="AA34" s="10">
        <f>AVERAGE(K34,P34,U34,Z34)</f>
        <v/>
      </c>
      <c r="AB34" s="11">
        <f>COUNTIF(G34:Z34,"P")</f>
        <v/>
      </c>
      <c r="AC34" s="12">
        <f>COUNTIF(G34:Z34,"L")</f>
        <v/>
      </c>
      <c r="AD34" s="13">
        <f>COUNTIF(G34:Z34,"A")</f>
        <v/>
      </c>
      <c r="AE34" s="14">
        <f>AB34+AC34</f>
        <v/>
      </c>
      <c r="AF34" s="8">
        <f>AE34/16*10</f>
        <v/>
      </c>
      <c r="AG34" s="8">
        <f>AA34</f>
        <v/>
      </c>
      <c r="AH34" s="8" t="n">
        <v>20</v>
      </c>
      <c r="AI34" s="5" t="n"/>
    </row>
    <row r="35">
      <c r="A35" s="50" t="n"/>
      <c r="B35" s="4" t="n">
        <v>27</v>
      </c>
      <c r="C35" s="4" t="n"/>
      <c r="D35" s="7" t="n"/>
      <c r="E35" s="15" t="inlineStr">
        <is>
          <t>NA</t>
        </is>
      </c>
      <c r="F35" s="15" t="inlineStr">
        <is>
          <t>NA</t>
        </is>
      </c>
      <c r="G35" s="4" t="n"/>
      <c r="H35" s="4" t="n"/>
      <c r="I35" s="4" t="n"/>
      <c r="J35" s="4" t="n"/>
      <c r="K35" s="9" t="n">
        <v>0</v>
      </c>
      <c r="L35" s="4" t="n"/>
      <c r="M35" s="4" t="n"/>
      <c r="N35" s="4" t="n"/>
      <c r="O35" s="4" t="n"/>
      <c r="P35" s="9" t="n">
        <v>0</v>
      </c>
      <c r="Q35" s="4" t="n"/>
      <c r="R35" s="4" t="n"/>
      <c r="S35" s="4" t="n"/>
      <c r="T35" s="4" t="n"/>
      <c r="U35" s="9" t="n">
        <v>0</v>
      </c>
      <c r="V35" s="4" t="n"/>
      <c r="W35" s="4" t="n"/>
      <c r="X35" s="4" t="n"/>
      <c r="Y35" s="4" t="n"/>
      <c r="Z35" s="9" t="n">
        <v>0</v>
      </c>
      <c r="AA35" s="10">
        <f>AVERAGE(K35,P35,U35,Z35)</f>
        <v/>
      </c>
      <c r="AB35" s="11">
        <f>COUNTIF(G35:Z35,"P")</f>
        <v/>
      </c>
      <c r="AC35" s="12">
        <f>COUNTIF(G35:Z35,"L")</f>
        <v/>
      </c>
      <c r="AD35" s="13">
        <f>COUNTIF(G35:Z35,"A")</f>
        <v/>
      </c>
      <c r="AE35" s="14">
        <f>AB35+AC35</f>
        <v/>
      </c>
      <c r="AF35" s="8">
        <f>AE35/16*10</f>
        <v/>
      </c>
      <c r="AG35" s="8">
        <f>AA35</f>
        <v/>
      </c>
      <c r="AH35" s="8" t="n"/>
      <c r="AI35" s="5" t="n"/>
    </row>
    <row r="36">
      <c r="A36" s="50" t="n"/>
      <c r="B36" s="4" t="n">
        <v>28</v>
      </c>
      <c r="C36" s="4" t="n"/>
      <c r="D36" s="7" t="n"/>
      <c r="E36" s="15" t="inlineStr">
        <is>
          <t>NA</t>
        </is>
      </c>
      <c r="F36" s="15" t="inlineStr">
        <is>
          <t>NA</t>
        </is>
      </c>
      <c r="G36" s="4" t="n"/>
      <c r="H36" s="4" t="n"/>
      <c r="I36" s="4" t="n"/>
      <c r="J36" s="4" t="n"/>
      <c r="K36" s="9" t="n">
        <v>5</v>
      </c>
      <c r="L36" s="4" t="inlineStr">
        <is>
          <t>p</t>
        </is>
      </c>
      <c r="M36" s="4" t="inlineStr">
        <is>
          <t>p</t>
        </is>
      </c>
      <c r="N36" s="4" t="inlineStr">
        <is>
          <t>p</t>
        </is>
      </c>
      <c r="O36" s="4" t="inlineStr">
        <is>
          <t>p</t>
        </is>
      </c>
      <c r="P36" s="9" t="n">
        <v>5</v>
      </c>
      <c r="Q36" s="4" t="inlineStr">
        <is>
          <t>p</t>
        </is>
      </c>
      <c r="R36" s="4" t="inlineStr">
        <is>
          <t>p</t>
        </is>
      </c>
      <c r="S36" s="4" t="inlineStr">
        <is>
          <t>p</t>
        </is>
      </c>
      <c r="T36" s="4" t="inlineStr">
        <is>
          <t>p</t>
        </is>
      </c>
      <c r="U36" s="9" t="n">
        <v>5</v>
      </c>
      <c r="V36" s="4" t="inlineStr">
        <is>
          <t>a</t>
        </is>
      </c>
      <c r="W36" s="4" t="inlineStr">
        <is>
          <t>a</t>
        </is>
      </c>
      <c r="X36" s="4" t="inlineStr">
        <is>
          <t>a</t>
        </is>
      </c>
      <c r="Y36" s="4" t="inlineStr">
        <is>
          <t>a</t>
        </is>
      </c>
      <c r="Z36" s="9" t="n">
        <v>5</v>
      </c>
      <c r="AA36" s="10">
        <f>AVERAGE(K36,P36,U36,Z36)</f>
        <v/>
      </c>
      <c r="AB36" s="11">
        <f>COUNTIF(G36:Z36,"P")</f>
        <v/>
      </c>
      <c r="AC36" s="12">
        <f>COUNTIF(G36:Z36,"L")</f>
        <v/>
      </c>
      <c r="AD36" s="13">
        <f>COUNTIF(G36:Z36,"A")</f>
        <v/>
      </c>
      <c r="AE36" s="14">
        <f>AB36+AC36</f>
        <v/>
      </c>
      <c r="AF36" s="8">
        <f>AE36/16*10</f>
        <v/>
      </c>
      <c r="AG36" s="8">
        <f>AA36</f>
        <v/>
      </c>
      <c r="AH36" s="8" t="n"/>
      <c r="AI36" s="5" t="n"/>
    </row>
    <row r="37">
      <c r="A37" s="50" t="n"/>
      <c r="B37" s="4" t="n">
        <v>29</v>
      </c>
      <c r="C37" s="4" t="n"/>
      <c r="D37" s="7" t="n"/>
      <c r="E37" s="15" t="inlineStr">
        <is>
          <t>NA</t>
        </is>
      </c>
      <c r="F37" s="15" t="inlineStr">
        <is>
          <t>NA</t>
        </is>
      </c>
      <c r="G37" s="4" t="n"/>
      <c r="H37" s="4" t="n"/>
      <c r="I37" s="4" t="n"/>
      <c r="J37" s="4" t="n"/>
      <c r="K37" s="9" t="n">
        <v>0</v>
      </c>
      <c r="L37" s="4" t="n"/>
      <c r="M37" s="4" t="n"/>
      <c r="N37" s="4" t="n"/>
      <c r="O37" s="4" t="n"/>
      <c r="P37" s="9" t="n">
        <v>0</v>
      </c>
      <c r="Q37" s="4" t="n"/>
      <c r="R37" s="4" t="n"/>
      <c r="S37" s="4" t="n"/>
      <c r="T37" s="4" t="n"/>
      <c r="U37" s="9" t="n">
        <v>0</v>
      </c>
      <c r="V37" s="4" t="n"/>
      <c r="W37" s="4" t="n"/>
      <c r="X37" s="4" t="n"/>
      <c r="Y37" s="4" t="n"/>
      <c r="Z37" s="9" t="n">
        <v>0</v>
      </c>
      <c r="AA37" s="10">
        <f>AVERAGE(K37,P37,U37,Z37)</f>
        <v/>
      </c>
      <c r="AB37" s="11">
        <f>COUNTIF(G37:Z37,"P")</f>
        <v/>
      </c>
      <c r="AC37" s="12">
        <f>COUNTIF(G37:Z37,"L")</f>
        <v/>
      </c>
      <c r="AD37" s="13">
        <f>COUNTIF(G37:Z37,"A")</f>
        <v/>
      </c>
      <c r="AE37" s="14">
        <f>AB37+AC37</f>
        <v/>
      </c>
      <c r="AF37" s="8">
        <f>AE37/16*10</f>
        <v/>
      </c>
      <c r="AG37" s="8">
        <f>AA37</f>
        <v/>
      </c>
      <c r="AH37" s="8" t="n"/>
      <c r="AI37" s="5" t="n"/>
    </row>
    <row r="38">
      <c r="A38" s="50" t="n"/>
      <c r="B38" s="4" t="n">
        <v>30</v>
      </c>
      <c r="C38" s="4" t="n"/>
      <c r="D38" s="7" t="n"/>
      <c r="E38" s="15" t="inlineStr">
        <is>
          <t>NA</t>
        </is>
      </c>
      <c r="F38" s="15" t="inlineStr">
        <is>
          <t>NA</t>
        </is>
      </c>
      <c r="G38" s="4" t="n"/>
      <c r="H38" s="4" t="n"/>
      <c r="I38" s="4" t="n"/>
      <c r="J38" s="4" t="n"/>
      <c r="K38" s="9" t="n">
        <v>0</v>
      </c>
      <c r="L38" s="4" t="n"/>
      <c r="M38" s="4" t="n"/>
      <c r="N38" s="4" t="n"/>
      <c r="O38" s="4" t="n"/>
      <c r="P38" s="9" t="n">
        <v>0</v>
      </c>
      <c r="Q38" s="4" t="n"/>
      <c r="R38" s="4" t="n"/>
      <c r="S38" s="4" t="n"/>
      <c r="T38" s="4" t="n"/>
      <c r="U38" s="9" t="n">
        <v>0</v>
      </c>
      <c r="V38" s="4" t="n"/>
      <c r="W38" s="4" t="n"/>
      <c r="X38" s="4" t="n"/>
      <c r="Y38" s="4" t="n"/>
      <c r="Z38" s="9" t="n">
        <v>0</v>
      </c>
      <c r="AA38" s="10">
        <f>AVERAGE(K38,P38,U38,Z38)</f>
        <v/>
      </c>
      <c r="AB38" s="11">
        <f>COUNTIF(G38:Z38,"P")</f>
        <v/>
      </c>
      <c r="AC38" s="12">
        <f>COUNTIF(G38:Z38,"L")</f>
        <v/>
      </c>
      <c r="AD38" s="13">
        <f>COUNTIF(G38:Z38,"A")</f>
        <v/>
      </c>
      <c r="AE38" s="14">
        <f>AB38+AC38</f>
        <v/>
      </c>
      <c r="AF38" s="8">
        <f>AE38/16*10</f>
        <v/>
      </c>
      <c r="AG38" s="8">
        <f>AA38</f>
        <v/>
      </c>
      <c r="AH38" s="8" t="n"/>
      <c r="AI38" s="5" t="n"/>
    </row>
    <row r="39">
      <c r="A39" s="50" t="n"/>
      <c r="B39" s="4" t="n">
        <v>31</v>
      </c>
      <c r="C39" s="4" t="n"/>
      <c r="D39" s="7" t="n"/>
      <c r="E39" s="15" t="inlineStr">
        <is>
          <t>NA</t>
        </is>
      </c>
      <c r="F39" s="15" t="inlineStr">
        <is>
          <t>NA</t>
        </is>
      </c>
      <c r="G39" s="4" t="n"/>
      <c r="H39" s="4" t="n"/>
      <c r="I39" s="4" t="n"/>
      <c r="J39" s="4" t="n"/>
      <c r="K39" s="9" t="n">
        <v>0</v>
      </c>
      <c r="L39" s="4" t="n"/>
      <c r="M39" s="4" t="n"/>
      <c r="N39" s="4" t="n"/>
      <c r="O39" s="4" t="n"/>
      <c r="P39" s="9" t="n">
        <v>0</v>
      </c>
      <c r="Q39" s="4" t="n"/>
      <c r="R39" s="4" t="n"/>
      <c r="S39" s="4" t="n"/>
      <c r="T39" s="4" t="n"/>
      <c r="U39" s="9" t="n">
        <v>0</v>
      </c>
      <c r="V39" s="4" t="n"/>
      <c r="W39" s="4" t="n"/>
      <c r="X39" s="4" t="n"/>
      <c r="Y39" s="4" t="n"/>
      <c r="Z39" s="9" t="n">
        <v>0</v>
      </c>
      <c r="AA39" s="10">
        <f>AVERAGE(K39,P39,U39,Z39)</f>
        <v/>
      </c>
      <c r="AB39" s="11">
        <f>COUNTIF(G39:Z39,"P")</f>
        <v/>
      </c>
      <c r="AC39" s="12">
        <f>COUNTIF(G39:Z39,"L")</f>
        <v/>
      </c>
      <c r="AD39" s="13">
        <f>COUNTIF(G39:Z39,"A")</f>
        <v/>
      </c>
      <c r="AE39" s="14">
        <f>AB39+AC39</f>
        <v/>
      </c>
      <c r="AF39" s="8">
        <f>AE39/16*10</f>
        <v/>
      </c>
      <c r="AG39" s="8">
        <f>AA39</f>
        <v/>
      </c>
      <c r="AH39" s="8" t="n"/>
      <c r="AI39" s="5" t="n"/>
    </row>
    <row r="40">
      <c r="A40" s="50" t="n"/>
      <c r="B40" s="4" t="n">
        <v>32</v>
      </c>
      <c r="C40" s="4" t="n"/>
      <c r="D40" s="7" t="n"/>
      <c r="E40" s="15" t="inlineStr">
        <is>
          <t>NA</t>
        </is>
      </c>
      <c r="F40" s="15" t="inlineStr">
        <is>
          <t>NA</t>
        </is>
      </c>
      <c r="G40" s="4" t="n"/>
      <c r="H40" s="4" t="n"/>
      <c r="I40" s="4" t="n"/>
      <c r="J40" s="4" t="n"/>
      <c r="K40" s="9" t="n">
        <v>0</v>
      </c>
      <c r="L40" s="4" t="n"/>
      <c r="M40" s="4" t="n"/>
      <c r="N40" s="4" t="n"/>
      <c r="O40" s="4" t="n"/>
      <c r="P40" s="9" t="n">
        <v>0</v>
      </c>
      <c r="Q40" s="4" t="n"/>
      <c r="R40" s="4" t="n"/>
      <c r="S40" s="4" t="n"/>
      <c r="T40" s="4" t="n"/>
      <c r="U40" s="9" t="n">
        <v>0</v>
      </c>
      <c r="V40" s="4" t="n"/>
      <c r="W40" s="4" t="n"/>
      <c r="X40" s="4" t="n"/>
      <c r="Y40" s="4" t="n"/>
      <c r="Z40" s="9" t="n">
        <v>0</v>
      </c>
      <c r="AA40" s="10">
        <f>AVERAGE(K40,P40,U40,Z40)</f>
        <v/>
      </c>
      <c r="AB40" s="11">
        <f>COUNTIF(G40:Z40,"P")</f>
        <v/>
      </c>
      <c r="AC40" s="12">
        <f>COUNTIF(G40:Z40,"L")</f>
        <v/>
      </c>
      <c r="AD40" s="13">
        <f>COUNTIF(G40:Z40,"A")</f>
        <v/>
      </c>
      <c r="AE40" s="14">
        <f>AB40+AC40</f>
        <v/>
      </c>
      <c r="AF40" s="8">
        <f>AE40/16*10</f>
        <v/>
      </c>
      <c r="AG40" s="8">
        <f>AA40</f>
        <v/>
      </c>
      <c r="AH40" s="8" t="n"/>
      <c r="AI40" s="5" t="n"/>
    </row>
    <row r="41">
      <c r="A41" s="50" t="n"/>
      <c r="B41" s="4" t="n">
        <v>33</v>
      </c>
      <c r="C41" s="4" t="n"/>
      <c r="D41" s="7" t="n"/>
      <c r="E41" s="15" t="inlineStr">
        <is>
          <t>NA</t>
        </is>
      </c>
      <c r="F41" s="15" t="inlineStr">
        <is>
          <t>NA</t>
        </is>
      </c>
      <c r="G41" s="4" t="n"/>
      <c r="H41" s="4" t="n"/>
      <c r="I41" s="4" t="n"/>
      <c r="J41" s="4" t="n"/>
      <c r="K41" s="9" t="n">
        <v>0</v>
      </c>
      <c r="L41" s="4" t="n"/>
      <c r="M41" s="4" t="n"/>
      <c r="N41" s="4" t="n"/>
      <c r="O41" s="4" t="n"/>
      <c r="P41" s="9" t="n">
        <v>0</v>
      </c>
      <c r="Q41" s="4" t="n"/>
      <c r="R41" s="4" t="n"/>
      <c r="S41" s="4" t="n"/>
      <c r="T41" s="4" t="n"/>
      <c r="U41" s="9" t="n">
        <v>0</v>
      </c>
      <c r="V41" s="4" t="n"/>
      <c r="W41" s="4" t="n"/>
      <c r="X41" s="4" t="n"/>
      <c r="Y41" s="4" t="n"/>
      <c r="Z41" s="9" t="n">
        <v>0</v>
      </c>
      <c r="AA41" s="10">
        <f>AVERAGE(K41,P41,U41,Z41)</f>
        <v/>
      </c>
      <c r="AB41" s="11">
        <f>COUNTIF(G41:Z41,"P")</f>
        <v/>
      </c>
      <c r="AC41" s="12">
        <f>COUNTIF(G41:Z41,"L")</f>
        <v/>
      </c>
      <c r="AD41" s="13">
        <f>COUNTIF(G41:Z41,"A")</f>
        <v/>
      </c>
      <c r="AE41" s="14">
        <f>AB41+AC41</f>
        <v/>
      </c>
      <c r="AF41" s="8">
        <f>AE41/16*10</f>
        <v/>
      </c>
      <c r="AG41" s="8">
        <f>AA41</f>
        <v/>
      </c>
      <c r="AH41" s="8" t="n"/>
      <c r="AI41" s="5" t="n"/>
    </row>
    <row r="42">
      <c r="A42" s="50" t="n"/>
      <c r="B42" s="4" t="n">
        <v>34</v>
      </c>
      <c r="C42" s="4" t="n"/>
      <c r="D42" s="7" t="n"/>
      <c r="E42" s="15" t="inlineStr">
        <is>
          <t>NA</t>
        </is>
      </c>
      <c r="F42" s="15" t="inlineStr">
        <is>
          <t>NA</t>
        </is>
      </c>
      <c r="G42" s="4" t="n"/>
      <c r="H42" s="4" t="n"/>
      <c r="I42" s="4" t="n"/>
      <c r="J42" s="4" t="n"/>
      <c r="K42" s="9" t="n">
        <v>0</v>
      </c>
      <c r="L42" s="4" t="n"/>
      <c r="M42" s="4" t="n"/>
      <c r="N42" s="4" t="n"/>
      <c r="O42" s="4" t="n"/>
      <c r="P42" s="9" t="n">
        <v>0</v>
      </c>
      <c r="Q42" s="4" t="n"/>
      <c r="R42" s="4" t="n"/>
      <c r="S42" s="4" t="n"/>
      <c r="T42" s="4" t="n"/>
      <c r="U42" s="9" t="n">
        <v>0</v>
      </c>
      <c r="V42" s="4" t="n"/>
      <c r="W42" s="4" t="n"/>
      <c r="X42" s="4" t="n"/>
      <c r="Y42" s="4" t="n"/>
      <c r="Z42" s="9" t="n">
        <v>0</v>
      </c>
      <c r="AA42" s="10">
        <f>AVERAGE(K42,P42,U42,Z42)</f>
        <v/>
      </c>
      <c r="AB42" s="11">
        <f>COUNTIF(G42:Z42,"P")</f>
        <v/>
      </c>
      <c r="AC42" s="12">
        <f>COUNTIF(G42:Z42,"L")</f>
        <v/>
      </c>
      <c r="AD42" s="13">
        <f>COUNTIF(G42:Z42,"A")</f>
        <v/>
      </c>
      <c r="AE42" s="14">
        <f>AB42+AC42</f>
        <v/>
      </c>
      <c r="AF42" s="8">
        <f>AE42/16*10</f>
        <v/>
      </c>
      <c r="AG42" s="8">
        <f>AA42</f>
        <v/>
      </c>
      <c r="AH42" s="8" t="n"/>
      <c r="AI42" s="5" t="n"/>
    </row>
    <row r="43">
      <c r="A43" s="50" t="n"/>
      <c r="B43" s="4" t="n">
        <v>35</v>
      </c>
      <c r="C43" s="4" t="n"/>
      <c r="D43" s="7" t="n"/>
      <c r="E43" s="15" t="inlineStr">
        <is>
          <t>NA</t>
        </is>
      </c>
      <c r="F43" s="15" t="inlineStr">
        <is>
          <t>NA</t>
        </is>
      </c>
      <c r="G43" s="4" t="n"/>
      <c r="H43" s="4" t="n"/>
      <c r="I43" s="4" t="n"/>
      <c r="J43" s="4" t="n"/>
      <c r="K43" s="9" t="n">
        <v>0</v>
      </c>
      <c r="L43" s="4" t="n"/>
      <c r="M43" s="4" t="n"/>
      <c r="N43" s="4" t="n"/>
      <c r="O43" s="4" t="n"/>
      <c r="P43" s="9" t="n">
        <v>0</v>
      </c>
      <c r="Q43" s="4" t="n"/>
      <c r="R43" s="4" t="n"/>
      <c r="S43" s="4" t="n"/>
      <c r="T43" s="4" t="n"/>
      <c r="U43" s="9" t="n">
        <v>0</v>
      </c>
      <c r="V43" s="4" t="n"/>
      <c r="W43" s="4" t="n"/>
      <c r="X43" s="4" t="n"/>
      <c r="Y43" s="4" t="n"/>
      <c r="Z43" s="9" t="n">
        <v>0</v>
      </c>
      <c r="AA43" s="10">
        <f>AVERAGE(K43,P43,U43,Z43)</f>
        <v/>
      </c>
      <c r="AB43" s="11">
        <f>COUNTIF(G43:Z43,"P")</f>
        <v/>
      </c>
      <c r="AC43" s="12">
        <f>COUNTIF(G43:Z43,"L")</f>
        <v/>
      </c>
      <c r="AD43" s="13">
        <f>COUNTIF(G43:Z43,"A")</f>
        <v/>
      </c>
      <c r="AE43" s="14">
        <f>AB43+AC43</f>
        <v/>
      </c>
      <c r="AF43" s="8">
        <f>AE43/16*10</f>
        <v/>
      </c>
      <c r="AG43" s="8">
        <f>AA43</f>
        <v/>
      </c>
      <c r="AH43" s="8" t="n"/>
      <c r="AI43" s="5" t="n"/>
    </row>
    <row r="44">
      <c r="A44" s="50" t="n"/>
      <c r="B44" s="4" t="n">
        <v>36</v>
      </c>
      <c r="C44" s="4" t="n"/>
      <c r="D44" s="7" t="n"/>
      <c r="E44" s="15" t="inlineStr">
        <is>
          <t>NA</t>
        </is>
      </c>
      <c r="F44" s="15" t="inlineStr">
        <is>
          <t>NA</t>
        </is>
      </c>
      <c r="G44" s="4" t="n"/>
      <c r="H44" s="4" t="n"/>
      <c r="I44" s="4" t="n"/>
      <c r="J44" s="4" t="n"/>
      <c r="K44" s="9" t="n">
        <v>0</v>
      </c>
      <c r="L44" s="4" t="n"/>
      <c r="M44" s="4" t="n"/>
      <c r="N44" s="4" t="n"/>
      <c r="O44" s="4" t="n"/>
      <c r="P44" s="9" t="n">
        <v>0</v>
      </c>
      <c r="Q44" s="4" t="n"/>
      <c r="R44" s="4" t="n"/>
      <c r="S44" s="4" t="n"/>
      <c r="T44" s="4" t="n"/>
      <c r="U44" s="9" t="n">
        <v>0</v>
      </c>
      <c r="V44" s="4" t="n"/>
      <c r="W44" s="4" t="n"/>
      <c r="X44" s="4" t="n"/>
      <c r="Y44" s="4" t="n"/>
      <c r="Z44" s="9" t="n">
        <v>0</v>
      </c>
      <c r="AA44" s="10">
        <f>AVERAGE(K44,P44,U44,Z44)</f>
        <v/>
      </c>
      <c r="AB44" s="11">
        <f>COUNTIF(G44:Z44,"P")</f>
        <v/>
      </c>
      <c r="AC44" s="12">
        <f>COUNTIF(G44:Z44,"L")</f>
        <v/>
      </c>
      <c r="AD44" s="13">
        <f>COUNTIF(G44:Z44,"A")</f>
        <v/>
      </c>
      <c r="AE44" s="14">
        <f>AB44+AC44</f>
        <v/>
      </c>
      <c r="AF44" s="8">
        <f>AE44/16*10</f>
        <v/>
      </c>
      <c r="AG44" s="8">
        <f>AA44</f>
        <v/>
      </c>
      <c r="AH44" s="8" t="n"/>
      <c r="AI44" s="5" t="n"/>
    </row>
    <row r="45">
      <c r="A45" s="50" t="n"/>
      <c r="B45" s="4" t="n">
        <v>37</v>
      </c>
      <c r="C45" s="4" t="n"/>
      <c r="D45" s="7" t="n"/>
      <c r="E45" s="15" t="inlineStr">
        <is>
          <t>NA</t>
        </is>
      </c>
      <c r="F45" s="15" t="inlineStr">
        <is>
          <t>NA</t>
        </is>
      </c>
      <c r="G45" s="4" t="n"/>
      <c r="H45" s="4" t="n"/>
      <c r="I45" s="4" t="n"/>
      <c r="J45" s="4" t="n"/>
      <c r="K45" s="9" t="n">
        <v>0</v>
      </c>
      <c r="L45" s="4" t="n"/>
      <c r="M45" s="4" t="n"/>
      <c r="N45" s="4" t="n"/>
      <c r="O45" s="4" t="n"/>
      <c r="P45" s="9" t="n">
        <v>0</v>
      </c>
      <c r="Q45" s="4" t="n"/>
      <c r="R45" s="4" t="n"/>
      <c r="S45" s="4" t="n"/>
      <c r="T45" s="4" t="n"/>
      <c r="U45" s="9" t="n">
        <v>0</v>
      </c>
      <c r="V45" s="4" t="n"/>
      <c r="W45" s="4" t="n"/>
      <c r="X45" s="4" t="n"/>
      <c r="Y45" s="4" t="n"/>
      <c r="Z45" s="9" t="n">
        <v>0</v>
      </c>
      <c r="AA45" s="10">
        <f>AVERAGE(K45,P45,U45,Z45)</f>
        <v/>
      </c>
      <c r="AB45" s="11">
        <f>COUNTIF(G45:Z45,"P")</f>
        <v/>
      </c>
      <c r="AC45" s="12">
        <f>COUNTIF(G45:Z45,"L")</f>
        <v/>
      </c>
      <c r="AD45" s="13">
        <f>COUNTIF(G45:Z45,"A")</f>
        <v/>
      </c>
      <c r="AE45" s="14">
        <f>AB45+AC45</f>
        <v/>
      </c>
      <c r="AF45" s="8">
        <f>AE45/16*10</f>
        <v/>
      </c>
      <c r="AG45" s="8">
        <f>AA45</f>
        <v/>
      </c>
      <c r="AH45" s="8" t="n"/>
      <c r="AI45" s="5" t="n"/>
    </row>
    <row r="46">
      <c r="A46" s="50" t="n"/>
      <c r="B46" s="4" t="n">
        <v>38</v>
      </c>
      <c r="C46" s="4" t="n"/>
      <c r="D46" s="7" t="n"/>
      <c r="E46" s="15" t="inlineStr">
        <is>
          <t>NA</t>
        </is>
      </c>
      <c r="F46" s="15" t="inlineStr">
        <is>
          <t>NA</t>
        </is>
      </c>
      <c r="G46" s="4" t="n"/>
      <c r="H46" s="4" t="n"/>
      <c r="I46" s="4" t="n"/>
      <c r="J46" s="4" t="n"/>
      <c r="K46" s="9" t="n">
        <v>0</v>
      </c>
      <c r="L46" s="4" t="n"/>
      <c r="M46" s="4" t="n"/>
      <c r="N46" s="4" t="n"/>
      <c r="O46" s="4" t="n"/>
      <c r="P46" s="9" t="n">
        <v>0</v>
      </c>
      <c r="Q46" s="4" t="n"/>
      <c r="R46" s="4" t="n"/>
      <c r="S46" s="4" t="n"/>
      <c r="T46" s="4" t="n"/>
      <c r="U46" s="9" t="n">
        <v>0</v>
      </c>
      <c r="V46" s="4" t="n"/>
      <c r="W46" s="4" t="n"/>
      <c r="X46" s="4" t="n"/>
      <c r="Y46" s="4" t="n"/>
      <c r="Z46" s="9" t="n">
        <v>0</v>
      </c>
      <c r="AA46" s="10">
        <f>AVERAGE(K46,P46,U46,Z46)</f>
        <v/>
      </c>
      <c r="AB46" s="11">
        <f>COUNTIF(G46:Z46,"P")</f>
        <v/>
      </c>
      <c r="AC46" s="12">
        <f>COUNTIF(G46:Z46,"L")</f>
        <v/>
      </c>
      <c r="AD46" s="13">
        <f>COUNTIF(G46:Z46,"A")</f>
        <v/>
      </c>
      <c r="AE46" s="14">
        <f>AB46+AC46</f>
        <v/>
      </c>
      <c r="AF46" s="8">
        <f>AE46/16*10</f>
        <v/>
      </c>
      <c r="AG46" s="8">
        <f>AA46</f>
        <v/>
      </c>
      <c r="AH46" s="8" t="n"/>
      <c r="AI46" s="5" t="n"/>
    </row>
    <row r="47">
      <c r="A47" s="50" t="n"/>
      <c r="B47" s="4" t="n">
        <v>39</v>
      </c>
      <c r="C47" s="4" t="n"/>
      <c r="D47" s="7" t="n"/>
      <c r="E47" s="15" t="inlineStr">
        <is>
          <t>NA</t>
        </is>
      </c>
      <c r="F47" s="15" t="inlineStr">
        <is>
          <t>NA</t>
        </is>
      </c>
      <c r="G47" s="4" t="n"/>
      <c r="H47" s="4" t="n"/>
      <c r="I47" s="4" t="n"/>
      <c r="J47" s="4" t="n"/>
      <c r="K47" s="9" t="n">
        <v>0</v>
      </c>
      <c r="L47" s="4" t="n"/>
      <c r="M47" s="4" t="n"/>
      <c r="N47" s="4" t="n"/>
      <c r="O47" s="4" t="n"/>
      <c r="P47" s="9" t="n">
        <v>0</v>
      </c>
      <c r="Q47" s="4" t="n"/>
      <c r="R47" s="4" t="n"/>
      <c r="S47" s="4" t="n"/>
      <c r="T47" s="4" t="n"/>
      <c r="U47" s="9" t="n">
        <v>0</v>
      </c>
      <c r="V47" s="4" t="n"/>
      <c r="W47" s="4" t="n"/>
      <c r="X47" s="4" t="n"/>
      <c r="Y47" s="4" t="n"/>
      <c r="Z47" s="9" t="n">
        <v>0</v>
      </c>
      <c r="AA47" s="10">
        <f>AVERAGE(K47,P47,U47,Z47)</f>
        <v/>
      </c>
      <c r="AB47" s="11">
        <f>COUNTIF(G47:Z47,"P")</f>
        <v/>
      </c>
      <c r="AC47" s="12">
        <f>COUNTIF(G47:Z47,"L")</f>
        <v/>
      </c>
      <c r="AD47" s="13">
        <f>COUNTIF(G47:Z47,"A")</f>
        <v/>
      </c>
      <c r="AE47" s="14">
        <f>AB47+AC47</f>
        <v/>
      </c>
      <c r="AF47" s="8">
        <f>AE47/16*10</f>
        <v/>
      </c>
      <c r="AG47" s="8">
        <f>AA47</f>
        <v/>
      </c>
      <c r="AH47" s="8" t="n"/>
      <c r="AI47" s="5" t="n"/>
    </row>
    <row r="48">
      <c r="A48" s="50" t="n"/>
      <c r="B48" s="4" t="n">
        <v>40</v>
      </c>
      <c r="C48" s="4" t="n"/>
      <c r="D48" s="7" t="n"/>
      <c r="E48" s="15" t="inlineStr">
        <is>
          <t>NA</t>
        </is>
      </c>
      <c r="F48" s="15" t="inlineStr">
        <is>
          <t>NA</t>
        </is>
      </c>
      <c r="G48" s="4" t="n"/>
      <c r="H48" s="4" t="n"/>
      <c r="I48" s="4" t="n"/>
      <c r="J48" s="4" t="n"/>
      <c r="K48" s="9" t="n">
        <v>0</v>
      </c>
      <c r="L48" s="4" t="n"/>
      <c r="M48" s="4" t="n"/>
      <c r="N48" s="4" t="n"/>
      <c r="O48" s="4" t="n"/>
      <c r="P48" s="9" t="n">
        <v>0</v>
      </c>
      <c r="Q48" s="4" t="n"/>
      <c r="R48" s="4" t="n"/>
      <c r="S48" s="4" t="n"/>
      <c r="T48" s="4" t="n"/>
      <c r="U48" s="9" t="n">
        <v>0</v>
      </c>
      <c r="V48" s="4" t="n"/>
      <c r="W48" s="4" t="n"/>
      <c r="X48" s="4" t="n"/>
      <c r="Y48" s="4" t="n"/>
      <c r="Z48" s="9" t="n">
        <v>0</v>
      </c>
      <c r="AA48" s="10">
        <f>AVERAGE(K48,P48,U48,Z48)</f>
        <v/>
      </c>
      <c r="AB48" s="11">
        <f>COUNTIF(G48:Z48,"P")</f>
        <v/>
      </c>
      <c r="AC48" s="12">
        <f>COUNTIF(G48:Z48,"L")</f>
        <v/>
      </c>
      <c r="AD48" s="13">
        <f>COUNTIF(G48:Z48,"A")</f>
        <v/>
      </c>
      <c r="AE48" s="14">
        <f>AB48+AC48</f>
        <v/>
      </c>
      <c r="AF48" s="8">
        <f>AE48/16*10</f>
        <v/>
      </c>
      <c r="AG48" s="8">
        <f>AA48</f>
        <v/>
      </c>
      <c r="AH48" s="8" t="n"/>
      <c r="AI48" s="5" t="n"/>
    </row>
    <row r="49">
      <c r="A49" s="50" t="n"/>
      <c r="B49" s="4" t="n">
        <v>41</v>
      </c>
      <c r="C49" s="4" t="n"/>
      <c r="D49" s="7" t="n"/>
      <c r="E49" s="15" t="inlineStr">
        <is>
          <t>NA</t>
        </is>
      </c>
      <c r="F49" s="15" t="inlineStr">
        <is>
          <t>NA</t>
        </is>
      </c>
      <c r="G49" s="4" t="n"/>
      <c r="H49" s="4" t="n"/>
      <c r="I49" s="4" t="n"/>
      <c r="J49" s="4" t="n"/>
      <c r="K49" s="9" t="n">
        <v>0</v>
      </c>
      <c r="L49" s="4" t="n"/>
      <c r="M49" s="4" t="n"/>
      <c r="N49" s="4" t="n"/>
      <c r="O49" s="4" t="n"/>
      <c r="P49" s="9" t="n">
        <v>0</v>
      </c>
      <c r="Q49" s="4" t="n"/>
      <c r="R49" s="4" t="n"/>
      <c r="S49" s="4" t="n"/>
      <c r="T49" s="4" t="n"/>
      <c r="U49" s="9" t="n">
        <v>0</v>
      </c>
      <c r="V49" s="4" t="n"/>
      <c r="W49" s="4" t="n"/>
      <c r="X49" s="4" t="n"/>
      <c r="Y49" s="4" t="n"/>
      <c r="Z49" s="9" t="n">
        <v>0</v>
      </c>
      <c r="AA49" s="10">
        <f>AVERAGE(K49,P49,U49,Z49)</f>
        <v/>
      </c>
      <c r="AB49" s="11">
        <f>COUNTIF(G49:Z49,"P")</f>
        <v/>
      </c>
      <c r="AC49" s="12">
        <f>COUNTIF(G49:Z49,"L")</f>
        <v/>
      </c>
      <c r="AD49" s="13">
        <f>COUNTIF(G49:Z49,"A")</f>
        <v/>
      </c>
      <c r="AE49" s="14">
        <f>AB49+AC49</f>
        <v/>
      </c>
      <c r="AF49" s="8">
        <f>AE49/16*10</f>
        <v/>
      </c>
      <c r="AG49" s="8">
        <f>AA49</f>
        <v/>
      </c>
      <c r="AH49" s="8" t="n"/>
      <c r="AI49" s="5" t="n"/>
    </row>
    <row r="50">
      <c r="A50" s="50" t="n"/>
      <c r="B50" s="4" t="n">
        <v>42</v>
      </c>
      <c r="C50" s="4" t="n"/>
      <c r="D50" s="7" t="n"/>
      <c r="E50" s="15" t="inlineStr">
        <is>
          <t>NA</t>
        </is>
      </c>
      <c r="F50" s="15" t="inlineStr">
        <is>
          <t>NA</t>
        </is>
      </c>
      <c r="G50" s="4" t="n"/>
      <c r="H50" s="4" t="n"/>
      <c r="I50" s="4" t="n"/>
      <c r="J50" s="4" t="n"/>
      <c r="K50" s="9" t="n">
        <v>0</v>
      </c>
      <c r="L50" s="4" t="n"/>
      <c r="M50" s="4" t="n"/>
      <c r="N50" s="4" t="n"/>
      <c r="O50" s="4" t="n"/>
      <c r="P50" s="9" t="n">
        <v>0</v>
      </c>
      <c r="Q50" s="4" t="n"/>
      <c r="R50" s="4" t="n"/>
      <c r="S50" s="4" t="n"/>
      <c r="T50" s="4" t="n"/>
      <c r="U50" s="9" t="n">
        <v>0</v>
      </c>
      <c r="V50" s="4" t="n"/>
      <c r="W50" s="4" t="n"/>
      <c r="X50" s="4" t="n"/>
      <c r="Y50" s="4" t="n"/>
      <c r="Z50" s="9" t="n">
        <v>0</v>
      </c>
      <c r="AA50" s="10">
        <f>AVERAGE(K50,P50,U50,Z50)</f>
        <v/>
      </c>
      <c r="AB50" s="11">
        <f>COUNTIF(G50:Z50,"P")</f>
        <v/>
      </c>
      <c r="AC50" s="12">
        <f>COUNTIF(G50:Z50,"L")</f>
        <v/>
      </c>
      <c r="AD50" s="13">
        <f>COUNTIF(G50:Z50,"A")</f>
        <v/>
      </c>
      <c r="AE50" s="14">
        <f>AB50+AC50</f>
        <v/>
      </c>
      <c r="AF50" s="8">
        <f>AE50/16*10</f>
        <v/>
      </c>
      <c r="AG50" s="8">
        <f>AA50</f>
        <v/>
      </c>
      <c r="AH50" s="8" t="n"/>
      <c r="AI50" s="5" t="n"/>
    </row>
    <row r="51">
      <c r="A51" s="50" t="n"/>
      <c r="B51" s="4" t="n">
        <v>43</v>
      </c>
      <c r="C51" s="4" t="n"/>
      <c r="D51" s="7" t="n"/>
      <c r="E51" s="15" t="inlineStr">
        <is>
          <t>NA</t>
        </is>
      </c>
      <c r="F51" s="15" t="inlineStr">
        <is>
          <t>NA</t>
        </is>
      </c>
      <c r="G51" s="4" t="n"/>
      <c r="H51" s="4" t="n"/>
      <c r="I51" s="4" t="n"/>
      <c r="J51" s="4" t="n"/>
      <c r="K51" s="9" t="n">
        <v>0</v>
      </c>
      <c r="L51" s="4" t="n"/>
      <c r="M51" s="4" t="n"/>
      <c r="N51" s="4" t="n"/>
      <c r="O51" s="4" t="n"/>
      <c r="P51" s="9" t="n">
        <v>0</v>
      </c>
      <c r="Q51" s="4" t="n"/>
      <c r="R51" s="4" t="n"/>
      <c r="S51" s="4" t="n"/>
      <c r="T51" s="4" t="n"/>
      <c r="U51" s="9" t="n">
        <v>0</v>
      </c>
      <c r="V51" s="4" t="n"/>
      <c r="W51" s="4" t="n"/>
      <c r="X51" s="4" t="n"/>
      <c r="Y51" s="4" t="n"/>
      <c r="Z51" s="9" t="n">
        <v>0</v>
      </c>
      <c r="AA51" s="10">
        <f>AVERAGE(K51,P51,U51,Z51)</f>
        <v/>
      </c>
      <c r="AB51" s="11">
        <f>COUNTIF(G51:Z51,"P")</f>
        <v/>
      </c>
      <c r="AC51" s="12">
        <f>COUNTIF(G51:Z51,"L")</f>
        <v/>
      </c>
      <c r="AD51" s="13">
        <f>COUNTIF(G51:Z51,"A")</f>
        <v/>
      </c>
      <c r="AE51" s="14">
        <f>AB51+AC51</f>
        <v/>
      </c>
      <c r="AF51" s="8">
        <f>AE51/16*10</f>
        <v/>
      </c>
      <c r="AG51" s="8">
        <f>AA51</f>
        <v/>
      </c>
      <c r="AH51" s="8" t="n"/>
      <c r="AI51" s="5" t="n"/>
    </row>
    <row r="52">
      <c r="A52" s="50" t="n"/>
      <c r="B52" s="4" t="n">
        <v>44</v>
      </c>
      <c r="C52" s="4" t="n"/>
      <c r="D52" s="7" t="n"/>
      <c r="E52" s="15" t="inlineStr">
        <is>
          <t>NA</t>
        </is>
      </c>
      <c r="F52" s="15" t="inlineStr">
        <is>
          <t>NA</t>
        </is>
      </c>
      <c r="G52" s="4" t="n"/>
      <c r="H52" s="4" t="n"/>
      <c r="I52" s="4" t="n"/>
      <c r="J52" s="4" t="n"/>
      <c r="K52" s="9" t="n">
        <v>0</v>
      </c>
      <c r="L52" s="4" t="n"/>
      <c r="M52" s="4" t="n"/>
      <c r="N52" s="4" t="n"/>
      <c r="O52" s="4" t="n"/>
      <c r="P52" s="9" t="n">
        <v>0</v>
      </c>
      <c r="Q52" s="4" t="n"/>
      <c r="R52" s="4" t="n"/>
      <c r="S52" s="4" t="n"/>
      <c r="T52" s="4" t="n"/>
      <c r="U52" s="9" t="n">
        <v>0</v>
      </c>
      <c r="V52" s="4" t="n"/>
      <c r="W52" s="4" t="n"/>
      <c r="X52" s="4" t="n"/>
      <c r="Y52" s="4" t="n"/>
      <c r="Z52" s="9" t="n">
        <v>0</v>
      </c>
      <c r="AA52" s="10">
        <f>AVERAGE(K52,P52,U52,Z52)</f>
        <v/>
      </c>
      <c r="AB52" s="11">
        <f>COUNTIF(G52:Z52,"P")</f>
        <v/>
      </c>
      <c r="AC52" s="12">
        <f>COUNTIF(G52:Z52,"L")</f>
        <v/>
      </c>
      <c r="AD52" s="13">
        <f>COUNTIF(G52:Z52,"A")</f>
        <v/>
      </c>
      <c r="AE52" s="14">
        <f>AB52+AC52</f>
        <v/>
      </c>
      <c r="AF52" s="8">
        <f>AE52/16*10</f>
        <v/>
      </c>
      <c r="AG52" s="8">
        <f>AA52</f>
        <v/>
      </c>
      <c r="AH52" s="8" t="n"/>
      <c r="AI52" s="5" t="n"/>
    </row>
    <row r="53">
      <c r="A53" s="50" t="n"/>
      <c r="B53" s="4" t="n">
        <v>45</v>
      </c>
      <c r="C53" s="4" t="n"/>
      <c r="D53" s="7" t="n"/>
      <c r="E53" s="15" t="inlineStr">
        <is>
          <t>NA</t>
        </is>
      </c>
      <c r="F53" s="15" t="inlineStr">
        <is>
          <t>NA</t>
        </is>
      </c>
      <c r="G53" s="4" t="n"/>
      <c r="H53" s="4" t="n"/>
      <c r="I53" s="4" t="n"/>
      <c r="J53" s="4" t="n"/>
      <c r="K53" s="9" t="n">
        <v>0</v>
      </c>
      <c r="L53" s="4" t="n"/>
      <c r="M53" s="4" t="n"/>
      <c r="N53" s="4" t="n"/>
      <c r="O53" s="4" t="n"/>
      <c r="P53" s="9" t="n">
        <v>0</v>
      </c>
      <c r="Q53" s="4" t="n"/>
      <c r="R53" s="4" t="n"/>
      <c r="S53" s="4" t="n"/>
      <c r="T53" s="4" t="n"/>
      <c r="U53" s="9" t="n">
        <v>0</v>
      </c>
      <c r="V53" s="4" t="n"/>
      <c r="W53" s="4" t="n"/>
      <c r="X53" s="4" t="n"/>
      <c r="Y53" s="4" t="n"/>
      <c r="Z53" s="9" t="n">
        <v>0</v>
      </c>
      <c r="AA53" s="10">
        <f>AVERAGE(K53,P53,U53,Z53)</f>
        <v/>
      </c>
      <c r="AB53" s="11">
        <f>COUNTIF(G53:Z53,"P")</f>
        <v/>
      </c>
      <c r="AC53" s="12">
        <f>COUNTIF(G53:Z53,"L")</f>
        <v/>
      </c>
      <c r="AD53" s="13">
        <f>COUNTIF(G53:Z53,"A")</f>
        <v/>
      </c>
      <c r="AE53" s="14">
        <f>AB53+AC53</f>
        <v/>
      </c>
      <c r="AF53" s="8">
        <f>AE53/16*10</f>
        <v/>
      </c>
      <c r="AG53" s="8">
        <f>AA53</f>
        <v/>
      </c>
      <c r="AH53" s="8" t="n"/>
      <c r="AI53" s="5" t="n"/>
    </row>
    <row r="54">
      <c r="A54" s="50" t="n"/>
      <c r="B54" s="4" t="n">
        <v>46</v>
      </c>
      <c r="C54" s="4" t="n"/>
      <c r="D54" s="7" t="n"/>
      <c r="E54" s="15" t="inlineStr">
        <is>
          <t>NA</t>
        </is>
      </c>
      <c r="F54" s="15" t="inlineStr">
        <is>
          <t>NA</t>
        </is>
      </c>
      <c r="G54" s="4" t="n"/>
      <c r="H54" s="4" t="n"/>
      <c r="I54" s="4" t="n"/>
      <c r="J54" s="4" t="n"/>
      <c r="K54" s="9" t="n">
        <v>0</v>
      </c>
      <c r="L54" s="4" t="n"/>
      <c r="M54" s="4" t="n"/>
      <c r="N54" s="4" t="n"/>
      <c r="O54" s="4" t="n"/>
      <c r="P54" s="9" t="n">
        <v>0</v>
      </c>
      <c r="Q54" s="4" t="n"/>
      <c r="R54" s="4" t="n"/>
      <c r="S54" s="4" t="n"/>
      <c r="T54" s="4" t="n"/>
      <c r="U54" s="9" t="n">
        <v>0</v>
      </c>
      <c r="V54" s="4" t="n"/>
      <c r="W54" s="4" t="n"/>
      <c r="X54" s="4" t="n"/>
      <c r="Y54" s="4" t="n"/>
      <c r="Z54" s="9" t="n">
        <v>0</v>
      </c>
      <c r="AA54" s="10">
        <f>AVERAGE(K54,P54,U54,Z54)</f>
        <v/>
      </c>
      <c r="AB54" s="11">
        <f>COUNTIF(G54:Z54,"P")</f>
        <v/>
      </c>
      <c r="AC54" s="12">
        <f>COUNTIF(G54:Z54,"L")</f>
        <v/>
      </c>
      <c r="AD54" s="13">
        <f>COUNTIF(G54:Z54,"A")</f>
        <v/>
      </c>
      <c r="AE54" s="14">
        <f>AB54+AC54</f>
        <v/>
      </c>
      <c r="AF54" s="8">
        <f>AE54/16*10</f>
        <v/>
      </c>
      <c r="AG54" s="8">
        <f>AA54</f>
        <v/>
      </c>
      <c r="AH54" s="8" t="n"/>
      <c r="AI54" s="5" t="n"/>
    </row>
    <row r="55">
      <c r="A55" s="50" t="n"/>
      <c r="B55" s="4" t="n">
        <v>47</v>
      </c>
      <c r="C55" s="4" t="n"/>
      <c r="D55" s="7" t="n"/>
      <c r="E55" s="15" t="inlineStr">
        <is>
          <t>NA</t>
        </is>
      </c>
      <c r="F55" s="15" t="inlineStr">
        <is>
          <t>NA</t>
        </is>
      </c>
      <c r="G55" s="4" t="n"/>
      <c r="H55" s="4" t="n"/>
      <c r="I55" s="4" t="n"/>
      <c r="J55" s="4" t="n"/>
      <c r="K55" s="9" t="n">
        <v>0</v>
      </c>
      <c r="L55" s="4" t="n"/>
      <c r="M55" s="4" t="n"/>
      <c r="N55" s="4" t="n"/>
      <c r="O55" s="4" t="n"/>
      <c r="P55" s="9" t="n">
        <v>0</v>
      </c>
      <c r="Q55" s="4" t="n"/>
      <c r="R55" s="4" t="n"/>
      <c r="S55" s="4" t="n"/>
      <c r="T55" s="4" t="n"/>
      <c r="U55" s="9" t="n">
        <v>0</v>
      </c>
      <c r="V55" s="4" t="n"/>
      <c r="W55" s="4" t="n"/>
      <c r="X55" s="4" t="n"/>
      <c r="Y55" s="4" t="n"/>
      <c r="Z55" s="9" t="n">
        <v>0</v>
      </c>
      <c r="AA55" s="10">
        <f>AVERAGE(K55,P55,U55,Z55)</f>
        <v/>
      </c>
      <c r="AB55" s="11">
        <f>COUNTIF(G55:Z55,"P")</f>
        <v/>
      </c>
      <c r="AC55" s="12">
        <f>COUNTIF(G55:Z55,"L")</f>
        <v/>
      </c>
      <c r="AD55" s="13">
        <f>COUNTIF(G55:Z55,"A")</f>
        <v/>
      </c>
      <c r="AE55" s="14">
        <f>AB55+AC55</f>
        <v/>
      </c>
      <c r="AF55" s="8">
        <f>AE55/16*10</f>
        <v/>
      </c>
      <c r="AG55" s="8">
        <f>AA55</f>
        <v/>
      </c>
      <c r="AH55" s="8" t="n"/>
      <c r="AI55" s="5" t="n"/>
    </row>
    <row r="56">
      <c r="A56" s="50" t="n"/>
      <c r="B56" s="4" t="n">
        <v>48</v>
      </c>
      <c r="C56" s="4" t="n"/>
      <c r="D56" s="7" t="n"/>
      <c r="E56" s="15" t="inlineStr">
        <is>
          <t>NA</t>
        </is>
      </c>
      <c r="F56" s="15" t="inlineStr">
        <is>
          <t>NA</t>
        </is>
      </c>
      <c r="G56" s="4" t="n"/>
      <c r="H56" s="4" t="n"/>
      <c r="I56" s="4" t="n"/>
      <c r="J56" s="4" t="n"/>
      <c r="K56" s="9" t="n">
        <v>0</v>
      </c>
      <c r="L56" s="4" t="n"/>
      <c r="M56" s="4" t="n"/>
      <c r="N56" s="4" t="n"/>
      <c r="O56" s="4" t="n"/>
      <c r="P56" s="9" t="n">
        <v>0</v>
      </c>
      <c r="Q56" s="4" t="n"/>
      <c r="R56" s="4" t="n"/>
      <c r="S56" s="4" t="n"/>
      <c r="T56" s="4" t="n"/>
      <c r="U56" s="9" t="n">
        <v>0</v>
      </c>
      <c r="V56" s="4" t="n"/>
      <c r="W56" s="4" t="n"/>
      <c r="X56" s="4" t="n"/>
      <c r="Y56" s="4" t="n"/>
      <c r="Z56" s="9" t="n">
        <v>0</v>
      </c>
      <c r="AA56" s="10">
        <f>AVERAGE(K56,P56,U56,Z56)</f>
        <v/>
      </c>
      <c r="AB56" s="11">
        <f>COUNTIF(G56:Z56,"P")</f>
        <v/>
      </c>
      <c r="AC56" s="12">
        <f>COUNTIF(G56:Z56,"L")</f>
        <v/>
      </c>
      <c r="AD56" s="13">
        <f>COUNTIF(G56:Z56,"A")</f>
        <v/>
      </c>
      <c r="AE56" s="14">
        <f>AB56+AC56</f>
        <v/>
      </c>
      <c r="AF56" s="8">
        <f>AE56/16*10</f>
        <v/>
      </c>
      <c r="AG56" s="8">
        <f>AA56</f>
        <v/>
      </c>
      <c r="AH56" s="8" t="n"/>
      <c r="AI56" s="5" t="n"/>
    </row>
    <row r="57">
      <c r="A57" s="50" t="n"/>
      <c r="B57" s="4" t="n">
        <v>49</v>
      </c>
      <c r="C57" s="4" t="n"/>
      <c r="D57" s="7" t="n"/>
      <c r="E57" s="15" t="inlineStr">
        <is>
          <t>NA</t>
        </is>
      </c>
      <c r="F57" s="15" t="inlineStr">
        <is>
          <t>NA</t>
        </is>
      </c>
      <c r="G57" s="4" t="n"/>
      <c r="H57" s="4" t="n"/>
      <c r="I57" s="4" t="n"/>
      <c r="J57" s="4" t="n"/>
      <c r="K57" s="9" t="n">
        <v>0</v>
      </c>
      <c r="L57" s="4" t="n"/>
      <c r="M57" s="4" t="n"/>
      <c r="N57" s="4" t="n"/>
      <c r="O57" s="4" t="n"/>
      <c r="P57" s="9" t="n">
        <v>0</v>
      </c>
      <c r="Q57" s="4" t="n"/>
      <c r="R57" s="4" t="n"/>
      <c r="S57" s="4" t="n"/>
      <c r="T57" s="4" t="n"/>
      <c r="U57" s="9" t="n">
        <v>0</v>
      </c>
      <c r="V57" s="4" t="n"/>
      <c r="W57" s="4" t="n"/>
      <c r="X57" s="4" t="n"/>
      <c r="Y57" s="4" t="n"/>
      <c r="Z57" s="9" t="n">
        <v>0</v>
      </c>
      <c r="AA57" s="10">
        <f>AVERAGE(K57,P57,U57,Z57)</f>
        <v/>
      </c>
      <c r="AB57" s="11">
        <f>COUNTIF(G57:Z57,"P")</f>
        <v/>
      </c>
      <c r="AC57" s="12">
        <f>COUNTIF(G57:Z57,"L")</f>
        <v/>
      </c>
      <c r="AD57" s="13">
        <f>COUNTIF(G57:Z57,"A")</f>
        <v/>
      </c>
      <c r="AE57" s="14">
        <f>AB57+AC57</f>
        <v/>
      </c>
      <c r="AF57" s="8">
        <f>AE57/16*10</f>
        <v/>
      </c>
      <c r="AG57" s="8">
        <f>AA57</f>
        <v/>
      </c>
      <c r="AH57" s="8" t="n"/>
      <c r="AI57" s="5" t="n"/>
    </row>
    <row r="58">
      <c r="A58" s="50" t="n"/>
      <c r="B58" s="4" t="n">
        <v>50</v>
      </c>
      <c r="C58" s="4" t="n"/>
      <c r="D58" s="7" t="n"/>
      <c r="E58" s="15" t="inlineStr">
        <is>
          <t>NA</t>
        </is>
      </c>
      <c r="F58" s="15" t="inlineStr">
        <is>
          <t>NA</t>
        </is>
      </c>
      <c r="G58" s="4" t="n"/>
      <c r="H58" s="4" t="n"/>
      <c r="I58" s="4" t="n"/>
      <c r="J58" s="4" t="n"/>
      <c r="K58" s="9" t="n">
        <v>0</v>
      </c>
      <c r="L58" s="4" t="n"/>
      <c r="M58" s="4" t="n"/>
      <c r="N58" s="4" t="n"/>
      <c r="O58" s="4" t="n"/>
      <c r="P58" s="9" t="n">
        <v>0</v>
      </c>
      <c r="Q58" s="4" t="n"/>
      <c r="R58" s="4" t="n"/>
      <c r="S58" s="4" t="n"/>
      <c r="T58" s="4" t="n"/>
      <c r="U58" s="9" t="n">
        <v>0</v>
      </c>
      <c r="V58" s="4" t="n"/>
      <c r="W58" s="4" t="n"/>
      <c r="X58" s="4" t="n"/>
      <c r="Y58" s="4" t="n"/>
      <c r="Z58" s="9" t="n">
        <v>0</v>
      </c>
      <c r="AA58" s="10">
        <f>AVERAGE(K58,P58,U58,Z58)</f>
        <v/>
      </c>
      <c r="AB58" s="11">
        <f>COUNTIF(G58:Z58,"P")</f>
        <v/>
      </c>
      <c r="AC58" s="12">
        <f>COUNTIF(G58:Z58,"L")</f>
        <v/>
      </c>
      <c r="AD58" s="13">
        <f>COUNTIF(G58:Z58,"A")</f>
        <v/>
      </c>
      <c r="AE58" s="14">
        <f>AB58+AC58</f>
        <v/>
      </c>
      <c r="AF58" s="8">
        <f>AE58/16*10</f>
        <v/>
      </c>
      <c r="AG58" s="8">
        <f>AA58</f>
        <v/>
      </c>
      <c r="AH58" s="8" t="n"/>
      <c r="AI58" s="5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  <c r="AH59" s="50" t="n"/>
      <c r="AI59" s="50" t="n"/>
    </row>
  </sheetData>
  <mergeCells count="23">
    <mergeCell ref="Q7:R7"/>
    <mergeCell ref="L7:M7"/>
    <mergeCell ref="N7:O7"/>
    <mergeCell ref="A3:C3"/>
    <mergeCell ref="V8:W8"/>
    <mergeCell ref="G8:H8"/>
    <mergeCell ref="X8:Y8"/>
    <mergeCell ref="E8:F8"/>
    <mergeCell ref="A2:C2"/>
    <mergeCell ref="Q8:R8"/>
    <mergeCell ref="S8:T8"/>
    <mergeCell ref="X7:Y7"/>
    <mergeCell ref="A5:C5"/>
    <mergeCell ref="G7:H7"/>
    <mergeCell ref="S7:T7"/>
    <mergeCell ref="I7:J7"/>
    <mergeCell ref="A4:C4"/>
    <mergeCell ref="L8:M8"/>
    <mergeCell ref="N8:O8"/>
    <mergeCell ref="I8:J8"/>
    <mergeCell ref="V7:W7"/>
    <mergeCell ref="E7:F7"/>
    <mergeCell ref="A6:C6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ColWidth="9.140625" defaultRowHeight="15"/>
  <cols>
    <col width="3.7109375" customWidth="1" style="1" min="1" max="1"/>
    <col width="4.85546875" customWidth="1" style="2" min="2" max="2"/>
    <col width="9.42578125" customWidth="1" style="2" min="3" max="3"/>
    <col width="22" customWidth="1" style="1" min="4" max="5"/>
    <col width="16" bestFit="1" customWidth="1" style="1" min="6" max="6"/>
    <col width="22.42578125" customWidth="1" style="1" min="7" max="7"/>
    <col width="21" bestFit="1" customWidth="1" style="1" min="8" max="8"/>
    <col width="9.140625" customWidth="1" style="1" min="9" max="16384"/>
  </cols>
  <sheetData>
    <row r="1" ht="21.75" customHeight="1">
      <c r="A1" s="26" t="n"/>
      <c r="B1" s="53" t="n"/>
      <c r="C1" s="93" t="inlineStr">
        <is>
          <t>Section:</t>
        </is>
      </c>
      <c r="D1" s="55" t="inlineStr">
        <is>
          <t>4C</t>
        </is>
      </c>
      <c r="E1" s="58" t="inlineStr">
        <is>
          <t>Marks Recording Sheet</t>
        </is>
      </c>
      <c r="F1" s="32" t="n"/>
      <c r="G1" s="32" t="n"/>
      <c r="H1" s="26" t="n"/>
      <c r="I1" s="26" t="n"/>
    </row>
    <row r="2" ht="20.25" customHeight="1">
      <c r="A2" s="93" t="inlineStr">
        <is>
          <t>Teacher Name:</t>
        </is>
      </c>
      <c r="B2" s="94" t="n"/>
      <c r="C2" s="95" t="n"/>
      <c r="D2" s="55">
        <f>'G4- Attendance'!D2</f>
        <v/>
      </c>
      <c r="E2" s="35">
        <f>'G4- Attendance'!E2</f>
        <v/>
      </c>
      <c r="F2" s="26" t="n"/>
      <c r="G2" s="49" t="n"/>
      <c r="H2" s="26" t="n"/>
      <c r="I2" s="26" t="n"/>
    </row>
    <row r="3" ht="21" customHeight="1">
      <c r="A3" s="93" t="inlineStr">
        <is>
          <t>School ID:</t>
        </is>
      </c>
      <c r="B3" s="94" t="n"/>
      <c r="C3" s="95" t="n"/>
      <c r="D3" s="56">
        <f>'G4- Attendance'!D3</f>
        <v/>
      </c>
      <c r="E3" s="59">
        <f>'G4- Attendance'!E3</f>
        <v/>
      </c>
      <c r="F3" s="26" t="n"/>
      <c r="G3" s="26" t="n"/>
      <c r="H3" s="26" t="n"/>
      <c r="I3" s="26" t="n"/>
    </row>
    <row r="4" ht="23.25" customFormat="1" customHeight="1" s="23">
      <c r="A4" s="93" t="inlineStr">
        <is>
          <t>School Name:</t>
        </is>
      </c>
      <c r="B4" s="94" t="n"/>
      <c r="C4" s="95" t="n"/>
      <c r="D4" s="56">
        <f>'G4- Attendance'!D4</f>
        <v/>
      </c>
      <c r="E4" s="59">
        <f>'G4- Attendance'!E4</f>
        <v/>
      </c>
      <c r="F4" s="60" t="n"/>
      <c r="G4" s="60" t="n"/>
      <c r="H4" s="61" t="n"/>
      <c r="I4" s="61" t="n"/>
    </row>
    <row r="5" ht="18" customHeight="1">
      <c r="A5" s="93" t="inlineStr">
        <is>
          <t>Emirate/Area:</t>
        </is>
      </c>
      <c r="B5" s="94" t="n"/>
      <c r="C5" s="95" t="n"/>
      <c r="D5" s="56">
        <f>'G4- Attendance'!D5</f>
        <v/>
      </c>
      <c r="E5" s="62" t="n"/>
      <c r="F5" s="62" t="n"/>
      <c r="G5" s="62" t="n"/>
      <c r="H5" s="26" t="n"/>
      <c r="I5" s="26" t="n"/>
    </row>
    <row r="6" ht="41.25" customHeight="1">
      <c r="A6" s="93" t="inlineStr">
        <is>
          <t>Council:</t>
        </is>
      </c>
      <c r="B6" s="94" t="n"/>
      <c r="C6" s="95" t="n"/>
      <c r="D6" s="57">
        <f>'G4- Attendance'!D6</f>
        <v/>
      </c>
      <c r="E6" s="49" t="n"/>
      <c r="F6" s="63" t="n"/>
      <c r="G6" s="64" t="n"/>
      <c r="H6" s="64" t="n"/>
      <c r="I6" s="26" t="n"/>
    </row>
    <row r="7" ht="28.5" customHeight="1">
      <c r="A7" s="32" t="n"/>
      <c r="B7" s="27" t="n"/>
      <c r="C7" s="48" t="n"/>
      <c r="D7" s="49" t="n"/>
      <c r="E7" s="75" t="inlineStr">
        <is>
          <t>School-based Assessment (SB1)</t>
        </is>
      </c>
      <c r="F7" s="80" t="inlineStr">
        <is>
          <t>Attendance/
Effort</t>
        </is>
      </c>
      <c r="G7" s="76" t="inlineStr">
        <is>
          <t>School-based Total</t>
        </is>
      </c>
      <c r="H7" s="77" t="inlineStr">
        <is>
          <t>End of Term Total</t>
        </is>
      </c>
      <c r="I7" s="26" t="n"/>
      <c r="K7" s="3" t="n"/>
    </row>
    <row r="8" ht="15.75" customHeight="1">
      <c r="A8" s="26" t="n"/>
      <c r="B8" s="51" t="inlineStr">
        <is>
          <t>No</t>
        </is>
      </c>
      <c r="C8" s="51" t="inlineStr">
        <is>
          <t>Student #</t>
        </is>
      </c>
      <c r="D8" s="78" t="inlineStr">
        <is>
          <t>Student Name</t>
        </is>
      </c>
      <c r="E8" s="19" t="inlineStr">
        <is>
          <t>80 marks</t>
        </is>
      </c>
      <c r="F8" s="18" t="inlineStr">
        <is>
          <t>20 marks</t>
        </is>
      </c>
      <c r="G8" s="17" t="inlineStr">
        <is>
          <t>100 marks</t>
        </is>
      </c>
      <c r="H8" s="77" t="inlineStr">
        <is>
          <t>100 marks</t>
        </is>
      </c>
      <c r="I8" s="26" t="n"/>
    </row>
    <row r="9">
      <c r="A9" s="50" t="n"/>
      <c r="B9" s="22" t="n">
        <v>1</v>
      </c>
      <c r="C9" s="22" t="n">
        <v>1</v>
      </c>
      <c r="D9" s="25" t="inlineStr">
        <is>
          <t>حصه صالح سالم البرك العامري</t>
        </is>
      </c>
      <c r="E9" s="6" t="n">
        <v>80</v>
      </c>
      <c r="F9" s="8" t="n">
        <v>18</v>
      </c>
      <c r="G9" s="16" t="n">
        <v>98</v>
      </c>
      <c r="H9" s="79" t="n">
        <v>99</v>
      </c>
      <c r="I9" s="26" t="n"/>
    </row>
    <row r="10">
      <c r="A10" s="50" t="n"/>
      <c r="B10" s="22" t="n">
        <v>2</v>
      </c>
      <c r="C10" s="22" t="n">
        <v>2</v>
      </c>
      <c r="D10" s="25" t="inlineStr">
        <is>
          <t>حصه عوض يسلم عوض الصيعري</t>
        </is>
      </c>
      <c r="E10" s="6" t="n">
        <v>80</v>
      </c>
      <c r="F10" s="8" t="n">
        <v>18</v>
      </c>
      <c r="G10" s="16" t="n">
        <v>98</v>
      </c>
      <c r="H10" s="79" t="n">
        <v>77</v>
      </c>
      <c r="I10" s="26" t="n"/>
    </row>
    <row r="11">
      <c r="A11" s="50" t="n"/>
      <c r="B11" s="22" t="n">
        <v>3</v>
      </c>
      <c r="C11" s="22" t="n">
        <v>3</v>
      </c>
      <c r="D11" s="25" t="inlineStr">
        <is>
          <t>حمد ابراهيم على محمد المستكاء</t>
        </is>
      </c>
      <c r="E11" s="6" t="n">
        <v>69</v>
      </c>
      <c r="F11" s="8" t="n">
        <v>18</v>
      </c>
      <c r="G11" s="16" t="n">
        <v>87</v>
      </c>
      <c r="H11" s="79" t="n">
        <v>55</v>
      </c>
      <c r="I11" s="26" t="n"/>
    </row>
    <row r="12">
      <c r="A12" s="50" t="n"/>
      <c r="B12" s="22" t="n">
        <v>4</v>
      </c>
      <c r="C12" s="22" t="n">
        <v>4</v>
      </c>
      <c r="D12" s="25" t="inlineStr">
        <is>
          <t>حياة ناصر جمعه راشد الكعبي</t>
        </is>
      </c>
      <c r="E12" s="6" t="n">
        <v>80</v>
      </c>
      <c r="F12" s="8" t="n">
        <v>18</v>
      </c>
      <c r="G12" s="16" t="n">
        <v>98</v>
      </c>
      <c r="H12" s="79" t="n">
        <v>90</v>
      </c>
      <c r="I12" s="26" t="n"/>
    </row>
    <row r="13">
      <c r="A13" s="50" t="n"/>
      <c r="B13" s="22" t="n">
        <v>5</v>
      </c>
      <c r="C13" s="22" t="n">
        <v>5</v>
      </c>
      <c r="D13" s="25" t="inlineStr">
        <is>
          <t>خالد ياسر احمد حسان على</t>
        </is>
      </c>
      <c r="E13" s="6" t="n">
        <v>70</v>
      </c>
      <c r="F13" s="8" t="n">
        <v>20</v>
      </c>
      <c r="G13" s="16" t="n">
        <v>90</v>
      </c>
      <c r="H13" s="79" t="n">
        <v>89</v>
      </c>
      <c r="I13" s="26" t="n"/>
    </row>
    <row r="14">
      <c r="A14" s="50" t="n"/>
      <c r="B14" s="22" t="n">
        <v>6</v>
      </c>
      <c r="C14" s="22" t="n">
        <v>6</v>
      </c>
      <c r="D14" s="25" t="inlineStr">
        <is>
          <t>زايد حمدان محمد ناجى احمد</t>
        </is>
      </c>
      <c r="E14" s="6" t="n">
        <v>69</v>
      </c>
      <c r="F14" s="8" t="n">
        <v>18</v>
      </c>
      <c r="G14" s="16" t="n">
        <v>87</v>
      </c>
      <c r="H14" s="79" t="n">
        <v>87</v>
      </c>
      <c r="I14" s="26" t="n"/>
    </row>
    <row r="15">
      <c r="A15" s="50" t="n"/>
      <c r="B15" s="22" t="n">
        <v>7</v>
      </c>
      <c r="C15" s="22" t="n">
        <v>7</v>
      </c>
      <c r="D15" s="25" t="inlineStr">
        <is>
          <t>سالم سليمان على محمد الكربي</t>
        </is>
      </c>
      <c r="E15" s="6" t="n">
        <v>71</v>
      </c>
      <c r="F15" s="8" t="n">
        <v>19</v>
      </c>
      <c r="G15" s="16" t="n">
        <v>90</v>
      </c>
      <c r="H15" s="79" t="n">
        <v>90</v>
      </c>
      <c r="I15" s="26" t="n"/>
    </row>
    <row r="16">
      <c r="A16" s="50" t="n"/>
      <c r="B16" s="22" t="n">
        <v>8</v>
      </c>
      <c r="C16" s="22" t="n">
        <v>8</v>
      </c>
      <c r="D16" s="25" t="inlineStr">
        <is>
          <t>سعيد سالم عبدالله محمد الكعبي</t>
        </is>
      </c>
      <c r="E16" s="6" t="n">
        <v>80</v>
      </c>
      <c r="F16" s="8" t="n">
        <v>19</v>
      </c>
      <c r="G16" s="16" t="n">
        <v>99</v>
      </c>
      <c r="H16" s="79" t="n">
        <v>89</v>
      </c>
      <c r="I16" s="26" t="n"/>
    </row>
    <row r="17">
      <c r="A17" s="50" t="n"/>
      <c r="B17" s="22" t="n">
        <v>9</v>
      </c>
      <c r="C17" s="22" t="n">
        <v>9</v>
      </c>
      <c r="D17" s="25" t="inlineStr">
        <is>
          <t>سلطان بن صالح بن عبدالله بن احمد البريكي</t>
        </is>
      </c>
      <c r="E17" s="6" t="n">
        <v>68</v>
      </c>
      <c r="F17" s="8" t="n">
        <v>20</v>
      </c>
      <c r="G17" s="16" t="n">
        <v>88</v>
      </c>
      <c r="H17" s="79" t="n">
        <v>86</v>
      </c>
      <c r="I17" s="26" t="n"/>
    </row>
    <row r="18">
      <c r="A18" s="50" t="n"/>
      <c r="B18" s="22" t="n">
        <v>10</v>
      </c>
      <c r="C18" s="22" t="n">
        <v>10</v>
      </c>
      <c r="D18" s="25" t="inlineStr">
        <is>
          <t>سلمان سالم احمد سالم المنصوري</t>
        </is>
      </c>
      <c r="E18" s="6" t="n">
        <v>80</v>
      </c>
      <c r="F18" s="8" t="n">
        <v>18</v>
      </c>
      <c r="G18" s="16" t="n">
        <v>98</v>
      </c>
      <c r="H18" s="79" t="n">
        <v>87</v>
      </c>
      <c r="I18" s="26" t="n"/>
    </row>
    <row r="19">
      <c r="A19" s="50" t="n"/>
      <c r="B19" s="22" t="n">
        <v>11</v>
      </c>
      <c r="C19" s="22" t="n">
        <v>11</v>
      </c>
      <c r="D19" s="25" t="inlineStr">
        <is>
          <t>شمسه عمران محمد شيبان المهيري</t>
        </is>
      </c>
      <c r="E19" s="6" t="n">
        <v>80</v>
      </c>
      <c r="F19" s="8" t="n">
        <v>18</v>
      </c>
      <c r="G19" s="16" t="n">
        <v>98</v>
      </c>
      <c r="H19" s="79" t="n">
        <v>92</v>
      </c>
      <c r="I19" s="26" t="n"/>
    </row>
    <row r="20">
      <c r="A20" s="50" t="n"/>
      <c r="B20" s="22" t="n">
        <v>12</v>
      </c>
      <c r="C20" s="22" t="n">
        <v>12</v>
      </c>
      <c r="D20" s="25" t="inlineStr">
        <is>
          <t>شيخة هداف رضوان عيضة المنهالي</t>
        </is>
      </c>
      <c r="E20" s="6" t="n">
        <v>80</v>
      </c>
      <c r="F20" s="8" t="n">
        <v>18</v>
      </c>
      <c r="G20" s="16" t="n">
        <v>98</v>
      </c>
      <c r="H20" s="79" t="n">
        <v>89</v>
      </c>
      <c r="I20" s="26" t="n"/>
    </row>
    <row r="21">
      <c r="A21" s="50" t="n"/>
      <c r="B21" s="22" t="n">
        <v>13</v>
      </c>
      <c r="C21" s="22" t="n">
        <v>13</v>
      </c>
      <c r="D21" s="25" t="inlineStr">
        <is>
          <t>عبدالرحمن سعيد محمد سالم الساعدي</t>
        </is>
      </c>
      <c r="E21" s="6" t="n">
        <v>70</v>
      </c>
      <c r="F21" s="8" t="n">
        <v>19</v>
      </c>
      <c r="G21" s="16" t="n">
        <v>89</v>
      </c>
      <c r="H21" s="79" t="n">
        <v>82</v>
      </c>
      <c r="I21" s="26" t="n"/>
    </row>
    <row r="22">
      <c r="A22" s="50" t="n"/>
      <c r="B22" s="22" t="n">
        <v>14</v>
      </c>
      <c r="C22" s="22" t="n">
        <v>14</v>
      </c>
      <c r="D22" s="25" t="inlineStr">
        <is>
          <t>عبدالله بدر حسين عيسى</t>
        </is>
      </c>
      <c r="E22" s="6" t="n">
        <v>80</v>
      </c>
      <c r="F22" s="8" t="n">
        <v>19</v>
      </c>
      <c r="G22" s="16" t="n">
        <v>99</v>
      </c>
      <c r="H22" s="79" t="n">
        <v>88</v>
      </c>
      <c r="I22" s="26" t="n"/>
    </row>
    <row r="23">
      <c r="A23" s="50" t="n"/>
      <c r="B23" s="22" t="n">
        <v>15</v>
      </c>
      <c r="C23" s="22" t="n">
        <v>15</v>
      </c>
      <c r="D23" s="25" t="inlineStr">
        <is>
          <t>عمر بن أحمد بن محمد بن مبروك الدهماني</t>
        </is>
      </c>
      <c r="E23" s="6" t="n">
        <v>70</v>
      </c>
      <c r="F23" s="8" t="n">
        <v>18</v>
      </c>
      <c r="G23" s="16" t="n">
        <v>88</v>
      </c>
      <c r="H23" s="79" t="n">
        <v>75</v>
      </c>
      <c r="I23" s="26" t="n"/>
    </row>
    <row r="24">
      <c r="A24" s="50" t="n"/>
      <c r="B24" s="22" t="n">
        <v>16</v>
      </c>
      <c r="C24" s="22" t="n">
        <v>16</v>
      </c>
      <c r="D24" s="25" t="inlineStr">
        <is>
          <t>فاطمه محمد سعيد سالم الشامسي</t>
        </is>
      </c>
      <c r="E24" s="6" t="n">
        <v>80</v>
      </c>
      <c r="F24" s="8" t="n">
        <v>20</v>
      </c>
      <c r="G24" s="16" t="n">
        <v>100</v>
      </c>
      <c r="H24" s="79" t="n">
        <v>89</v>
      </c>
      <c r="I24" s="26" t="n"/>
    </row>
    <row r="25">
      <c r="A25" s="50" t="n"/>
      <c r="B25" s="22" t="n">
        <v>17</v>
      </c>
      <c r="C25" s="22" t="n">
        <v>17</v>
      </c>
      <c r="D25" s="25" t="inlineStr">
        <is>
          <t>مثايل خالد ناصر راشد الساعدي</t>
        </is>
      </c>
      <c r="E25" s="6" t="n">
        <v>80</v>
      </c>
      <c r="F25" s="8" t="n">
        <v>18</v>
      </c>
      <c r="G25" s="16" t="n">
        <v>98</v>
      </c>
      <c r="H25" s="79" t="n">
        <v>92</v>
      </c>
      <c r="I25" s="26" t="n"/>
    </row>
    <row r="26">
      <c r="A26" s="50" t="n"/>
      <c r="B26" s="22" t="n">
        <v>18</v>
      </c>
      <c r="C26" s="22" t="n">
        <v>18</v>
      </c>
      <c r="D26" s="25" t="inlineStr">
        <is>
          <t>محمد صقر محمد بجير العامري</t>
        </is>
      </c>
      <c r="E26" s="6" t="n">
        <v>80</v>
      </c>
      <c r="F26" s="8" t="n">
        <v>19</v>
      </c>
      <c r="G26" s="16" t="n">
        <v>99</v>
      </c>
      <c r="H26" s="79" t="n">
        <v>89</v>
      </c>
      <c r="I26" s="26" t="n"/>
    </row>
    <row r="27">
      <c r="A27" s="50" t="n"/>
      <c r="B27" s="22" t="n">
        <v>19</v>
      </c>
      <c r="C27" s="22" t="n">
        <v>19</v>
      </c>
      <c r="D27" s="25" t="inlineStr">
        <is>
          <t>محمد عوض هادي فلاح الاحبابي</t>
        </is>
      </c>
      <c r="E27" s="6" t="n">
        <v>80</v>
      </c>
      <c r="F27" s="8" t="n">
        <v>19</v>
      </c>
      <c r="G27" s="16" t="n">
        <v>99</v>
      </c>
      <c r="H27" s="79" t="n">
        <v>88</v>
      </c>
      <c r="I27" s="26" t="n"/>
    </row>
    <row r="28">
      <c r="A28" s="50" t="n"/>
      <c r="B28" s="22" t="n">
        <v>20</v>
      </c>
      <c r="C28" s="22" t="n">
        <v>20</v>
      </c>
      <c r="D28" s="25" t="inlineStr">
        <is>
          <t>مفرح سعد مسفر عبدالرحمن الأحبابي</t>
        </is>
      </c>
      <c r="E28" s="6" t="n">
        <v>80</v>
      </c>
      <c r="F28" s="8" t="n">
        <v>19</v>
      </c>
      <c r="G28" s="16" t="n">
        <v>99</v>
      </c>
      <c r="H28" s="79" t="n">
        <v>91</v>
      </c>
      <c r="I28" s="26" t="n"/>
    </row>
    <row r="29">
      <c r="A29" s="50" t="n"/>
      <c r="B29" s="22" t="n">
        <v>21</v>
      </c>
      <c r="C29" s="22" t="n">
        <v>21</v>
      </c>
      <c r="D29" s="25" t="inlineStr">
        <is>
          <t>ميثاء حسين مراد على المازم</t>
        </is>
      </c>
      <c r="E29" s="6" t="n">
        <v>68</v>
      </c>
      <c r="F29" s="8" t="n">
        <v>20</v>
      </c>
      <c r="G29" s="16" t="n">
        <v>88</v>
      </c>
      <c r="H29" s="79" t="n">
        <v>88</v>
      </c>
      <c r="I29" s="26" t="n"/>
    </row>
    <row r="30">
      <c r="A30" s="50" t="n"/>
      <c r="B30" s="22" t="n">
        <v>22</v>
      </c>
      <c r="C30" s="22" t="n">
        <v>22</v>
      </c>
      <c r="D30" s="25" t="inlineStr">
        <is>
          <t>ميثه جمعه خميس راشد خميس</t>
        </is>
      </c>
      <c r="E30" s="6" t="n">
        <v>80</v>
      </c>
      <c r="F30" s="8" t="n">
        <v>19</v>
      </c>
      <c r="G30" s="16" t="n">
        <v>99</v>
      </c>
      <c r="H30" s="79" t="n">
        <v>90</v>
      </c>
      <c r="I30" s="26" t="n"/>
    </row>
    <row r="31">
      <c r="A31" s="50" t="n"/>
      <c r="B31" s="22" t="n">
        <v>23</v>
      </c>
      <c r="C31" s="22" t="n">
        <v>23</v>
      </c>
      <c r="D31" s="25" t="inlineStr">
        <is>
          <t>ناصر صالح سليمان مبارك العامري</t>
        </is>
      </c>
      <c r="E31" s="6" t="n">
        <v>68</v>
      </c>
      <c r="F31" s="8" t="n">
        <v>19</v>
      </c>
      <c r="G31" s="16" t="n">
        <v>87</v>
      </c>
      <c r="H31" s="79" t="n">
        <v>88</v>
      </c>
      <c r="I31" s="26" t="n"/>
    </row>
    <row r="32">
      <c r="A32" s="50" t="n"/>
      <c r="B32" s="22" t="n">
        <v>24</v>
      </c>
      <c r="C32" s="22" t="n">
        <v>24</v>
      </c>
      <c r="D32" s="25" t="inlineStr">
        <is>
          <t>وجدان محمد على عبدالله الكشادى</t>
        </is>
      </c>
      <c r="E32" s="6" t="n">
        <v>70</v>
      </c>
      <c r="F32" s="8" t="n">
        <v>19</v>
      </c>
      <c r="G32" s="16" t="n">
        <v>89</v>
      </c>
      <c r="H32" s="79" t="n">
        <v>88</v>
      </c>
      <c r="I32" s="26" t="n"/>
    </row>
    <row r="33">
      <c r="A33" s="50" t="n"/>
      <c r="B33" s="22" t="n">
        <v>25</v>
      </c>
      <c r="C33" s="22" t="n">
        <v>25</v>
      </c>
      <c r="D33" s="25" t="inlineStr">
        <is>
          <t>وديمه نادر سعيد مصبح الشامسى</t>
        </is>
      </c>
      <c r="E33" s="6" t="n">
        <v>80</v>
      </c>
      <c r="F33" s="8" t="n">
        <v>19</v>
      </c>
      <c r="G33" s="16" t="n">
        <v>99</v>
      </c>
      <c r="H33" s="79" t="n">
        <v>88</v>
      </c>
      <c r="I33" s="26" t="n"/>
    </row>
    <row r="34">
      <c r="A34" s="50" t="n"/>
      <c r="B34" s="22" t="n">
        <v>26</v>
      </c>
      <c r="C34" s="22" t="n">
        <v>26</v>
      </c>
      <c r="D34" s="25" t="inlineStr">
        <is>
          <t>يوسف حمد على نصر ال صلاح</t>
        </is>
      </c>
      <c r="E34" s="6" t="n">
        <v>70</v>
      </c>
      <c r="F34" s="8" t="n">
        <v>20</v>
      </c>
      <c r="G34" s="16" t="n">
        <v>90</v>
      </c>
      <c r="H34" s="79" t="n">
        <v>89</v>
      </c>
      <c r="I34" s="26" t="n"/>
    </row>
    <row r="35">
      <c r="A35" s="50" t="n"/>
      <c r="B35" s="22" t="n"/>
      <c r="C35" s="22" t="n"/>
      <c r="D35" s="25" t="n"/>
      <c r="E35" s="6" t="n"/>
      <c r="F35" s="8" t="n"/>
      <c r="G35" s="16" t="n"/>
      <c r="H35" s="79" t="n"/>
      <c r="I35" s="26" t="n"/>
    </row>
    <row r="36">
      <c r="A36" s="50" t="n"/>
      <c r="B36" s="22" t="n"/>
      <c r="C36" s="22" t="n"/>
      <c r="D36" s="25" t="n"/>
      <c r="E36" s="6" t="n"/>
      <c r="F36" s="8" t="n"/>
      <c r="G36" s="16" t="n"/>
      <c r="H36" s="79" t="n"/>
      <c r="I36" s="26" t="n"/>
    </row>
    <row r="37">
      <c r="A37" s="50" t="n"/>
      <c r="B37" s="22" t="n"/>
      <c r="C37" s="22" t="n"/>
      <c r="D37" s="25" t="n"/>
      <c r="E37" s="6" t="n"/>
      <c r="F37" s="8" t="n"/>
      <c r="G37" s="16" t="n"/>
      <c r="H37" s="79" t="n"/>
      <c r="I37" s="26" t="n"/>
    </row>
    <row r="38">
      <c r="A38" s="50" t="n"/>
      <c r="B38" s="22" t="n"/>
      <c r="C38" s="22" t="n"/>
      <c r="D38" s="25" t="n"/>
      <c r="E38" s="6" t="n"/>
      <c r="F38" s="8" t="n"/>
      <c r="G38" s="16" t="n"/>
      <c r="H38" s="79" t="n"/>
      <c r="I38" s="26" t="n"/>
    </row>
    <row r="39">
      <c r="A39" s="50" t="n"/>
      <c r="B39" s="22" t="n"/>
      <c r="C39" s="22" t="n"/>
      <c r="D39" s="25" t="n"/>
      <c r="E39" s="6" t="n"/>
      <c r="F39" s="8" t="n"/>
      <c r="G39" s="16" t="n"/>
      <c r="H39" s="79" t="n"/>
      <c r="I39" s="26" t="n"/>
    </row>
    <row r="40">
      <c r="A40" s="50" t="n"/>
      <c r="B40" s="22" t="n"/>
      <c r="C40" s="22" t="n"/>
      <c r="D40" s="25" t="n"/>
      <c r="E40" s="6" t="n"/>
      <c r="F40" s="8" t="n"/>
      <c r="G40" s="16" t="n"/>
      <c r="H40" s="79" t="n"/>
      <c r="I40" s="26" t="n"/>
    </row>
    <row r="41">
      <c r="A41" s="50" t="n"/>
      <c r="B41" s="22" t="n"/>
      <c r="C41" s="22" t="n"/>
      <c r="D41" s="25" t="n"/>
      <c r="E41" s="6" t="n"/>
      <c r="F41" s="8" t="n"/>
      <c r="G41" s="16" t="n"/>
      <c r="H41" s="79" t="n"/>
      <c r="I41" s="26" t="n"/>
    </row>
    <row r="42">
      <c r="A42" s="50" t="n"/>
      <c r="B42" s="22" t="n"/>
      <c r="C42" s="22" t="n"/>
      <c r="D42" s="25" t="n"/>
      <c r="E42" s="6" t="n"/>
      <c r="F42" s="8" t="n"/>
      <c r="G42" s="16" t="n"/>
      <c r="H42" s="79" t="n"/>
      <c r="I42" s="26" t="n"/>
    </row>
    <row r="43">
      <c r="A43" s="50" t="n"/>
      <c r="B43" s="22" t="n"/>
      <c r="C43" s="22" t="n"/>
      <c r="D43" s="25" t="n"/>
      <c r="E43" s="6" t="n"/>
      <c r="F43" s="8" t="n"/>
      <c r="G43" s="16" t="n"/>
      <c r="H43" s="79" t="n"/>
      <c r="I43" s="26" t="n"/>
    </row>
    <row r="44">
      <c r="A44" s="50" t="n"/>
      <c r="B44" s="22" t="n"/>
      <c r="C44" s="22" t="n"/>
      <c r="D44" s="25" t="n"/>
      <c r="E44" s="6" t="n"/>
      <c r="F44" s="8" t="n"/>
      <c r="G44" s="16" t="n"/>
      <c r="H44" s="79" t="n"/>
      <c r="I44" s="26" t="n"/>
    </row>
    <row r="45">
      <c r="A45" s="50" t="n"/>
      <c r="B45" s="22" t="n"/>
      <c r="C45" s="22" t="n"/>
      <c r="D45" s="25" t="n"/>
      <c r="E45" s="6" t="n"/>
      <c r="F45" s="8" t="n"/>
      <c r="G45" s="16" t="n"/>
      <c r="H45" s="79" t="n"/>
      <c r="I45" s="26" t="n"/>
    </row>
    <row r="46">
      <c r="A46" s="50" t="n"/>
      <c r="B46" s="22" t="n"/>
      <c r="C46" s="22" t="n"/>
      <c r="D46" s="25" t="n"/>
      <c r="E46" s="6" t="n"/>
      <c r="F46" s="8" t="n"/>
      <c r="G46" s="16" t="n"/>
      <c r="H46" s="79" t="n"/>
      <c r="I46" s="26" t="n"/>
    </row>
    <row r="47">
      <c r="A47" s="50" t="n"/>
      <c r="B47" s="22" t="n"/>
      <c r="C47" s="22" t="n"/>
      <c r="D47" s="25" t="n"/>
      <c r="E47" s="6" t="n"/>
      <c r="F47" s="8" t="n"/>
      <c r="G47" s="16" t="n"/>
      <c r="H47" s="79" t="n"/>
      <c r="I47" s="26" t="n"/>
    </row>
    <row r="48">
      <c r="A48" s="50" t="n"/>
      <c r="B48" s="22" t="n"/>
      <c r="C48" s="22" t="n"/>
      <c r="D48" s="25" t="n"/>
      <c r="E48" s="6" t="n"/>
      <c r="F48" s="8" t="n"/>
      <c r="G48" s="16" t="n"/>
      <c r="H48" s="79" t="n"/>
      <c r="I48" s="26" t="n"/>
    </row>
    <row r="49">
      <c r="A49" s="50" t="n"/>
      <c r="B49" s="22" t="n"/>
      <c r="C49" s="22" t="n"/>
      <c r="D49" s="25" t="n"/>
      <c r="E49" s="6" t="n"/>
      <c r="F49" s="8" t="n"/>
      <c r="G49" s="16" t="n"/>
      <c r="H49" s="79" t="n"/>
      <c r="I49" s="26" t="n"/>
    </row>
    <row r="50">
      <c r="A50" s="50" t="n"/>
      <c r="B50" s="22" t="n"/>
      <c r="C50" s="22" t="n"/>
      <c r="D50" s="25" t="n"/>
      <c r="E50" s="6" t="n"/>
      <c r="F50" s="8" t="n"/>
      <c r="G50" s="16" t="n"/>
      <c r="H50" s="79" t="n"/>
      <c r="I50" s="26" t="n"/>
    </row>
    <row r="51">
      <c r="A51" s="50" t="n"/>
      <c r="B51" s="22" t="n"/>
      <c r="C51" s="22" t="n"/>
      <c r="D51" s="25" t="n"/>
      <c r="E51" s="6" t="n"/>
      <c r="F51" s="8" t="n"/>
      <c r="G51" s="16" t="n"/>
      <c r="H51" s="79" t="n"/>
      <c r="I51" s="26" t="n"/>
    </row>
    <row r="52">
      <c r="A52" s="50" t="n"/>
      <c r="B52" s="22" t="n"/>
      <c r="C52" s="22" t="n"/>
      <c r="D52" s="25" t="n"/>
      <c r="E52" s="6" t="n"/>
      <c r="F52" s="8" t="n"/>
      <c r="G52" s="16" t="n"/>
      <c r="H52" s="79" t="n"/>
      <c r="I52" s="26" t="n"/>
    </row>
    <row r="53">
      <c r="A53" s="50" t="n"/>
      <c r="B53" s="22" t="n"/>
      <c r="C53" s="22" t="n"/>
      <c r="D53" s="25" t="n"/>
      <c r="E53" s="6" t="n"/>
      <c r="F53" s="8" t="n"/>
      <c r="G53" s="16" t="n"/>
      <c r="H53" s="79" t="n"/>
      <c r="I53" s="26" t="n"/>
    </row>
    <row r="54">
      <c r="A54" s="50" t="n"/>
      <c r="B54" s="22" t="n"/>
      <c r="C54" s="22" t="n"/>
      <c r="D54" s="25" t="n"/>
      <c r="E54" s="6" t="n"/>
      <c r="F54" s="8" t="n"/>
      <c r="G54" s="16" t="n"/>
      <c r="H54" s="79" t="n"/>
      <c r="I54" s="26" t="n"/>
    </row>
    <row r="55">
      <c r="A55" s="50" t="n"/>
      <c r="B55" s="22" t="n"/>
      <c r="C55" s="22" t="n"/>
      <c r="D55" s="25" t="n"/>
      <c r="E55" s="6" t="n"/>
      <c r="F55" s="8" t="n"/>
      <c r="G55" s="16" t="n"/>
      <c r="H55" s="79" t="n"/>
      <c r="I55" s="26" t="n"/>
    </row>
    <row r="56">
      <c r="A56" s="50" t="n"/>
      <c r="B56" s="22" t="n"/>
      <c r="C56" s="22" t="n"/>
      <c r="D56" s="25" t="n"/>
      <c r="E56" s="6" t="n"/>
      <c r="F56" s="8" t="n"/>
      <c r="G56" s="16" t="n"/>
      <c r="H56" s="79" t="n"/>
      <c r="I56" s="26" t="n"/>
    </row>
    <row r="57">
      <c r="A57" s="50" t="n"/>
      <c r="B57" s="22" t="n"/>
      <c r="C57" s="22" t="n"/>
      <c r="D57" s="25" t="n"/>
      <c r="E57" s="6" t="n"/>
      <c r="F57" s="8" t="n"/>
      <c r="G57" s="16" t="n"/>
      <c r="H57" s="79" t="n"/>
      <c r="I57" s="26" t="n"/>
    </row>
    <row r="58">
      <c r="A58" s="50" t="n"/>
      <c r="B58" s="22" t="n"/>
      <c r="C58" s="22" t="n"/>
      <c r="D58" s="25" t="n"/>
      <c r="E58" s="6" t="n"/>
      <c r="F58" s="8" t="n"/>
      <c r="G58" s="16" t="n"/>
      <c r="H58" s="79" t="n"/>
      <c r="I58" s="26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26" t="n"/>
    </row>
  </sheetData>
  <mergeCells count="5">
    <mergeCell ref="A5:C5"/>
    <mergeCell ref="A6:C6"/>
    <mergeCell ref="A3:C3"/>
    <mergeCell ref="A4:C4"/>
    <mergeCell ref="A2:C2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tabColor rgb="FF00B050"/>
    <outlinePr summaryBelow="1" summaryRight="1"/>
    <pageSetUpPr/>
  </sheetPr>
  <dimension ref="A1:AI59"/>
  <sheetViews>
    <sheetView workbookViewId="0">
      <selection activeCell="A1" sqref="A1"/>
    </sheetView>
  </sheetViews>
  <sheetFormatPr baseColWidth="8" defaultColWidth="9.140625" defaultRowHeight="15"/>
  <cols>
    <col width="3.140625" customWidth="1" style="1" min="1" max="1"/>
    <col width="4.28515625" customWidth="1" style="2" min="2" max="2"/>
    <col width="12.85546875" bestFit="1" customWidth="1" style="2" min="3" max="3"/>
    <col width="38.5703125" customWidth="1" style="1" min="4" max="4"/>
    <col width="5.7109375" customWidth="1" style="1" min="5" max="10"/>
    <col width="7.85546875" bestFit="1" customWidth="1" style="1" min="11" max="11"/>
    <col width="5.7109375" customWidth="1" style="1" min="12" max="15"/>
    <col width="7.140625" customWidth="1" style="1" min="16" max="16"/>
    <col width="5.7109375" customWidth="1" style="1" min="17" max="20"/>
    <col width="7.85546875" bestFit="1" customWidth="1" style="1" min="21" max="21"/>
    <col width="5.7109375" customWidth="1" style="1" min="22" max="25"/>
    <col width="7.85546875" bestFit="1" customWidth="1" style="1" min="26" max="26"/>
    <col width="13" customWidth="1" style="1" min="27" max="27"/>
    <col width="12.28515625" customWidth="1" style="1" min="28" max="28"/>
    <col width="11" customWidth="1" style="1" min="29" max="29"/>
    <col width="12.28515625" customWidth="1" style="1" min="30" max="30"/>
    <col width="8" customWidth="1" style="1" min="31" max="31"/>
    <col width="14.7109375" customWidth="1" style="1" min="32" max="32"/>
    <col width="10.5703125" customWidth="1" style="1" min="33" max="33"/>
    <col width="11.28515625" customWidth="1" style="1" min="34" max="34"/>
    <col width="23.5703125" customWidth="1" style="1" min="35" max="35"/>
    <col width="9.140625" customWidth="1" style="1" min="36" max="16384"/>
  </cols>
  <sheetData>
    <row r="1" ht="25.5" customHeight="1" thickBot="1">
      <c r="A1" s="26" t="n"/>
      <c r="B1" s="27" t="n"/>
      <c r="C1" s="28" t="inlineStr">
        <is>
          <t>Section:</t>
        </is>
      </c>
      <c r="D1" s="29" t="inlineStr">
        <is>
          <t>4D</t>
        </is>
      </c>
      <c r="E1" s="30" t="inlineStr">
        <is>
          <t>Attendance &amp; Effort Sheet</t>
        </is>
      </c>
      <c r="F1" s="26" t="n"/>
      <c r="G1" s="26" t="n"/>
      <c r="H1" s="26" t="n"/>
      <c r="I1" s="31" t="n"/>
      <c r="J1" s="31" t="n"/>
      <c r="K1" s="31" t="n"/>
      <c r="L1" s="31" t="n"/>
      <c r="M1" s="31" t="n"/>
      <c r="N1" s="32" t="n"/>
      <c r="O1" s="32" t="n"/>
      <c r="P1" s="65" t="inlineStr">
        <is>
          <t>P=Present</t>
        </is>
      </c>
      <c r="Q1" s="66" t="n"/>
      <c r="R1" s="66" t="n"/>
      <c r="S1" s="26" t="n"/>
      <c r="T1" s="26" t="n"/>
      <c r="U1" s="32" t="n"/>
      <c r="V1" s="32" t="n"/>
      <c r="W1" s="32" t="n"/>
      <c r="X1" s="32" t="n"/>
      <c r="Y1" s="32" t="n"/>
      <c r="Z1" s="32" t="n"/>
      <c r="AA1" s="33" t="n"/>
      <c r="AB1" s="26" t="n"/>
      <c r="AC1" s="26" t="n"/>
      <c r="AD1" s="26" t="n"/>
      <c r="AE1" s="26" t="n"/>
      <c r="AF1" s="33" t="n"/>
      <c r="AG1" s="26" t="n"/>
      <c r="AH1" s="26" t="n"/>
      <c r="AI1" s="26" t="n"/>
    </row>
    <row r="2" ht="24" customHeight="1">
      <c r="A2" s="89" t="inlineStr">
        <is>
          <t>Teacher Name:</t>
        </is>
      </c>
      <c r="B2" s="94" t="n"/>
      <c r="C2" s="95" t="n"/>
      <c r="D2" s="34" t="n"/>
      <c r="E2" s="35" t="inlineStr">
        <is>
          <t xml:space="preserve">Computing, Creative Design and Innovation </t>
        </is>
      </c>
      <c r="F2" s="26" t="n"/>
      <c r="G2" s="26" t="n"/>
      <c r="H2" s="26" t="n"/>
      <c r="I2" s="31" t="n"/>
      <c r="J2" s="31" t="n"/>
      <c r="K2" s="31" t="n"/>
      <c r="L2" s="31" t="n"/>
      <c r="M2" s="31" t="n"/>
      <c r="N2" s="32" t="n"/>
      <c r="O2" s="32" t="n"/>
      <c r="P2" s="67" t="inlineStr">
        <is>
          <t>A=Absent</t>
        </is>
      </c>
      <c r="Q2" s="68" t="n"/>
      <c r="R2" s="68" t="n"/>
      <c r="S2" s="26" t="n"/>
      <c r="T2" s="26" t="n"/>
      <c r="U2" s="36" t="n"/>
      <c r="V2" s="36" t="n"/>
      <c r="W2" s="36" t="n"/>
      <c r="X2" s="36" t="n"/>
      <c r="Y2" s="36" t="n"/>
      <c r="Z2" s="36" t="n"/>
      <c r="AA2" s="37" t="n"/>
      <c r="AB2" s="37" t="n"/>
      <c r="AC2" s="37" t="n"/>
      <c r="AD2" s="37" t="n"/>
      <c r="AE2" s="37" t="n"/>
      <c r="AF2" s="26" t="n"/>
      <c r="AG2" s="26" t="n"/>
      <c r="AH2" s="26" t="n"/>
      <c r="AI2" s="26" t="n"/>
    </row>
    <row r="3" ht="29.25" customHeight="1">
      <c r="A3" s="89" t="inlineStr">
        <is>
          <t>School ID:</t>
        </is>
      </c>
      <c r="B3" s="94" t="n"/>
      <c r="C3" s="95" t="n"/>
      <c r="D3" s="34" t="n"/>
      <c r="E3" s="38" t="inlineStr">
        <is>
          <t>Grade 4</t>
        </is>
      </c>
      <c r="F3" s="26" t="n"/>
      <c r="G3" s="26" t="n"/>
      <c r="H3" s="26" t="n"/>
      <c r="I3" s="26" t="n"/>
      <c r="J3" s="39" t="n"/>
      <c r="K3" s="31" t="n"/>
      <c r="L3" s="31" t="n"/>
      <c r="M3" s="31" t="n"/>
      <c r="N3" s="36" t="n"/>
      <c r="O3" s="36" t="n"/>
      <c r="P3" s="69" t="inlineStr">
        <is>
          <t>L=Late</t>
        </is>
      </c>
      <c r="Q3" s="70" t="n"/>
      <c r="R3" s="70" t="n"/>
      <c r="S3" s="26" t="n"/>
      <c r="T3" s="26" t="n"/>
      <c r="U3" s="36" t="n"/>
      <c r="V3" s="36" t="n"/>
      <c r="W3" s="36" t="n"/>
      <c r="X3" s="36" t="n"/>
      <c r="Y3" s="36" t="n"/>
      <c r="Z3" s="36" t="n"/>
      <c r="AA3" s="37" t="n"/>
      <c r="AB3" s="37" t="n"/>
      <c r="AC3" s="37" t="n"/>
      <c r="AD3" s="37" t="n"/>
      <c r="AE3" s="37" t="n"/>
      <c r="AF3" s="26" t="n"/>
      <c r="AG3" s="26" t="n"/>
      <c r="AH3" s="26" t="n"/>
      <c r="AI3" s="26" t="n"/>
    </row>
    <row r="4" ht="24.75" customHeight="1" thickBot="1">
      <c r="A4" s="89" t="inlineStr">
        <is>
          <t>School Name:</t>
        </is>
      </c>
      <c r="B4" s="94" t="n"/>
      <c r="C4" s="95" t="n"/>
      <c r="D4" s="34" t="n"/>
      <c r="E4" s="40" t="inlineStr">
        <is>
          <t>Term 2 - 2024/2025</t>
        </is>
      </c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41" t="n"/>
      <c r="AB4" s="41" t="n"/>
      <c r="AC4" s="41" t="n"/>
      <c r="AD4" s="41" t="n"/>
      <c r="AE4" s="41" t="n"/>
      <c r="AF4" s="41" t="n"/>
      <c r="AG4" s="41" t="n"/>
      <c r="AH4" s="26" t="n"/>
      <c r="AI4" s="26" t="n"/>
    </row>
    <row r="5" ht="23.25" customHeight="1">
      <c r="A5" s="89" t="inlineStr">
        <is>
          <t>Emirate/Area:</t>
        </is>
      </c>
      <c r="B5" s="94" t="n"/>
      <c r="C5" s="95" t="n"/>
      <c r="D5" s="34" t="n"/>
      <c r="E5" s="42" t="inlineStr">
        <is>
          <t>1. Student 'attendance' and 'effort' is part of the total of the School-Based mark. Please ensure that you record all attendance here.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5" t="n"/>
      <c r="AC5" s="45" t="n"/>
      <c r="AD5" s="45" t="n"/>
      <c r="AE5" s="45" t="n"/>
      <c r="AF5" s="45" t="n"/>
      <c r="AG5" s="45" t="n"/>
      <c r="AH5" s="45" t="n"/>
      <c r="AI5" s="45" t="n"/>
    </row>
    <row r="6" ht="24.75" customHeight="1">
      <c r="A6" s="89" t="inlineStr">
        <is>
          <t>Council:</t>
        </is>
      </c>
      <c r="B6" s="94" t="n"/>
      <c r="C6" s="95" t="n"/>
      <c r="D6" s="34" t="n"/>
      <c r="E6" s="46" t="inlineStr">
        <is>
          <t>2. Consult your principal for late/absent policy</t>
        </is>
      </c>
      <c r="F6" s="47" t="n"/>
      <c r="G6" s="47" t="n"/>
      <c r="H6" s="47" t="n"/>
      <c r="I6" s="47" t="n"/>
      <c r="J6" s="47" t="n"/>
      <c r="K6" s="47" t="n"/>
      <c r="L6" s="47" t="n"/>
      <c r="M6" s="47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26" t="n"/>
      <c r="AC6" s="26" t="n"/>
      <c r="AD6" s="26" t="n"/>
      <c r="AE6" s="26" t="n"/>
      <c r="AF6" s="26" t="n"/>
      <c r="AG6" s="26" t="n"/>
      <c r="AH6" s="26" t="n"/>
      <c r="AI6" s="26" t="n"/>
    </row>
    <row r="7" ht="18.75" customHeight="1">
      <c r="A7" s="32" t="n"/>
      <c r="B7" s="27" t="n"/>
      <c r="C7" s="48" t="n"/>
      <c r="D7" s="49" t="n"/>
      <c r="E7" s="82" t="inlineStr">
        <is>
          <t>Week 1</t>
        </is>
      </c>
      <c r="F7" s="96" t="n"/>
      <c r="G7" s="81" t="inlineStr">
        <is>
          <t>Week 2</t>
        </is>
      </c>
      <c r="H7" s="96" t="n"/>
      <c r="I7" s="82" t="inlineStr">
        <is>
          <t>Week 3</t>
        </is>
      </c>
      <c r="J7" s="96" t="n"/>
      <c r="K7" s="20" t="inlineStr">
        <is>
          <t>Effort</t>
        </is>
      </c>
      <c r="L7" s="81" t="inlineStr">
        <is>
          <t>Week 4</t>
        </is>
      </c>
      <c r="M7" s="96" t="n"/>
      <c r="N7" s="82" t="inlineStr">
        <is>
          <t>Week 5</t>
        </is>
      </c>
      <c r="O7" s="96" t="n"/>
      <c r="P7" s="20" t="inlineStr">
        <is>
          <t>Effort</t>
        </is>
      </c>
      <c r="Q7" s="81" t="inlineStr">
        <is>
          <t>Week 6</t>
        </is>
      </c>
      <c r="R7" s="96" t="n"/>
      <c r="S7" s="82" t="inlineStr">
        <is>
          <t>Week 7</t>
        </is>
      </c>
      <c r="T7" s="96" t="n"/>
      <c r="U7" s="20" t="inlineStr">
        <is>
          <t>Effort</t>
        </is>
      </c>
      <c r="V7" s="81" t="inlineStr">
        <is>
          <t>Week 8</t>
        </is>
      </c>
      <c r="W7" s="96" t="n"/>
      <c r="X7" s="82" t="inlineStr">
        <is>
          <t>Week 9</t>
        </is>
      </c>
      <c r="Y7" s="96" t="n"/>
      <c r="Z7" s="20" t="inlineStr">
        <is>
          <t>Effort</t>
        </is>
      </c>
      <c r="AA7" s="20" t="inlineStr">
        <is>
          <t>Avg</t>
        </is>
      </c>
      <c r="AB7" s="26" t="n"/>
      <c r="AC7" s="26" t="n"/>
      <c r="AD7" s="26" t="n"/>
      <c r="AE7" s="26" t="n"/>
      <c r="AF7" s="26" t="n"/>
      <c r="AG7" s="26" t="n"/>
      <c r="AH7" s="26" t="n"/>
      <c r="AI7" s="26" t="n"/>
    </row>
    <row r="8" ht="50.25" customHeight="1">
      <c r="A8" s="26" t="n"/>
      <c r="B8" s="51" t="inlineStr">
        <is>
          <t>No</t>
        </is>
      </c>
      <c r="C8" s="51" t="inlineStr">
        <is>
          <t>Student #</t>
        </is>
      </c>
      <c r="D8" s="52" t="inlineStr">
        <is>
          <t>Student Name</t>
        </is>
      </c>
      <c r="E8" s="85" t="n">
        <v>45663</v>
      </c>
      <c r="F8" s="96" t="n"/>
      <c r="G8" s="85" t="n">
        <v>45670</v>
      </c>
      <c r="H8" s="96" t="n"/>
      <c r="I8" s="85" t="n">
        <v>45677</v>
      </c>
      <c r="J8" s="96" t="n"/>
      <c r="K8" s="24" t="inlineStr">
        <is>
          <t>10M</t>
        </is>
      </c>
      <c r="L8" s="85" t="n">
        <v>45684</v>
      </c>
      <c r="M8" s="96" t="n"/>
      <c r="N8" s="85" t="n">
        <v>45691</v>
      </c>
      <c r="O8" s="96" t="n"/>
      <c r="P8" s="24" t="inlineStr">
        <is>
          <t>10M</t>
        </is>
      </c>
      <c r="Q8" s="85" t="n">
        <v>45698</v>
      </c>
      <c r="R8" s="96" t="n"/>
      <c r="S8" s="85" t="n">
        <v>45705</v>
      </c>
      <c r="T8" s="96" t="n"/>
      <c r="U8" s="24" t="inlineStr">
        <is>
          <t>10M</t>
        </is>
      </c>
      <c r="V8" s="85" t="n">
        <v>45712</v>
      </c>
      <c r="W8" s="96" t="n"/>
      <c r="X8" s="85" t="n">
        <v>45719</v>
      </c>
      <c r="Y8" s="96" t="n"/>
      <c r="Z8" s="24" t="inlineStr">
        <is>
          <t>10M</t>
        </is>
      </c>
      <c r="AA8" s="21" t="inlineStr">
        <is>
          <t>Effort</t>
        </is>
      </c>
      <c r="AB8" s="71" t="inlineStr">
        <is>
          <t>#Present</t>
        </is>
      </c>
      <c r="AC8" s="72" t="inlineStr">
        <is>
          <t>#Late</t>
        </is>
      </c>
      <c r="AD8" s="72" t="inlineStr">
        <is>
          <t>#Absence</t>
        </is>
      </c>
      <c r="AE8" s="73" t="inlineStr">
        <is>
          <t>Tot Att</t>
        </is>
      </c>
      <c r="AF8" s="73" t="inlineStr">
        <is>
          <t>Attendance Mark (10)</t>
        </is>
      </c>
      <c r="AG8" s="73" t="inlineStr">
        <is>
          <t>Effort Mark (10)</t>
        </is>
      </c>
      <c r="AH8" s="73" t="inlineStr">
        <is>
          <t>Total Marks (20)</t>
        </is>
      </c>
      <c r="AI8" s="74" t="inlineStr">
        <is>
          <t>Comments</t>
        </is>
      </c>
    </row>
    <row r="9">
      <c r="A9" s="50" t="n"/>
      <c r="B9" s="4" t="n">
        <v>1</v>
      </c>
      <c r="C9" s="4" t="n">
        <v>1</v>
      </c>
      <c r="D9" s="7" t="inlineStr">
        <is>
          <t>بطي خالد خليفة عبدالله الريسي</t>
        </is>
      </c>
      <c r="E9" s="15" t="inlineStr">
        <is>
          <t>NA</t>
        </is>
      </c>
      <c r="F9" s="15" t="inlineStr">
        <is>
          <t>NA</t>
        </is>
      </c>
      <c r="G9" s="4" t="inlineStr">
        <is>
          <t>P</t>
        </is>
      </c>
      <c r="H9" s="4" t="inlineStr">
        <is>
          <t>P</t>
        </is>
      </c>
      <c r="I9" s="4" t="inlineStr">
        <is>
          <t>P</t>
        </is>
      </c>
      <c r="J9" s="4" t="inlineStr">
        <is>
          <t>P</t>
        </is>
      </c>
      <c r="K9" s="9" t="n">
        <v>10</v>
      </c>
      <c r="L9" s="4" t="inlineStr">
        <is>
          <t>P</t>
        </is>
      </c>
      <c r="M9" s="4" t="inlineStr">
        <is>
          <t>P</t>
        </is>
      </c>
      <c r="N9" s="4" t="inlineStr">
        <is>
          <t>P</t>
        </is>
      </c>
      <c r="O9" s="4" t="inlineStr">
        <is>
          <t>P</t>
        </is>
      </c>
      <c r="P9" s="9" t="n">
        <v>10</v>
      </c>
      <c r="Q9" s="4" t="inlineStr">
        <is>
          <t>P</t>
        </is>
      </c>
      <c r="R9" s="4" t="inlineStr">
        <is>
          <t>P</t>
        </is>
      </c>
      <c r="S9" s="4" t="inlineStr">
        <is>
          <t>P</t>
        </is>
      </c>
      <c r="T9" s="4" t="inlineStr">
        <is>
          <t>P</t>
        </is>
      </c>
      <c r="U9" s="9" t="n">
        <v>10</v>
      </c>
      <c r="V9" s="4" t="inlineStr">
        <is>
          <t>P</t>
        </is>
      </c>
      <c r="W9" s="4" t="inlineStr">
        <is>
          <t>P</t>
        </is>
      </c>
      <c r="X9" s="4" t="inlineStr">
        <is>
          <t>P</t>
        </is>
      </c>
      <c r="Y9" s="4" t="inlineStr">
        <is>
          <t>P</t>
        </is>
      </c>
      <c r="Z9" s="9" t="n">
        <v>10</v>
      </c>
      <c r="AA9" s="10">
        <f>AVERAGE(K9,P9,U9,Z9)</f>
        <v/>
      </c>
      <c r="AB9" s="11">
        <f>COUNTIF(G9:Z9,"P")</f>
        <v/>
      </c>
      <c r="AC9" s="12">
        <f>COUNTIF(G9:Z9,"L")</f>
        <v/>
      </c>
      <c r="AD9" s="13">
        <f>COUNTIF(G9:Z9,"A")</f>
        <v/>
      </c>
      <c r="AE9" s="14">
        <f>AB9+AC9</f>
        <v/>
      </c>
      <c r="AF9" s="8">
        <f>AE9/16*10</f>
        <v/>
      </c>
      <c r="AG9" s="8">
        <f>AA9</f>
        <v/>
      </c>
      <c r="AH9" s="8" t="n">
        <v>18</v>
      </c>
      <c r="AI9" s="5" t="inlineStr">
        <is>
          <t>Excellent work and effort</t>
        </is>
      </c>
    </row>
    <row r="10">
      <c r="A10" s="50" t="n"/>
      <c r="B10" s="4" t="n">
        <v>2</v>
      </c>
      <c r="C10" s="4" t="n">
        <v>2</v>
      </c>
      <c r="D10" s="7" t="inlineStr">
        <is>
          <t>حسين هادى حمد فرحان الأحبابي</t>
        </is>
      </c>
      <c r="E10" s="15" t="inlineStr">
        <is>
          <t>NA</t>
        </is>
      </c>
      <c r="F10" s="15" t="inlineStr">
        <is>
          <t>NA</t>
        </is>
      </c>
      <c r="G10" s="4" t="inlineStr">
        <is>
          <t>P</t>
        </is>
      </c>
      <c r="H10" s="4" t="inlineStr">
        <is>
          <t>P</t>
        </is>
      </c>
      <c r="I10" s="4" t="inlineStr">
        <is>
          <t>P</t>
        </is>
      </c>
      <c r="J10" s="4" t="inlineStr">
        <is>
          <t>P</t>
        </is>
      </c>
      <c r="K10" s="9" t="n">
        <v>10</v>
      </c>
      <c r="L10" s="4" t="inlineStr">
        <is>
          <t>A</t>
        </is>
      </c>
      <c r="M10" s="4" t="inlineStr">
        <is>
          <t>A</t>
        </is>
      </c>
      <c r="N10" s="4" t="inlineStr">
        <is>
          <t>L</t>
        </is>
      </c>
      <c r="O10" s="4" t="inlineStr">
        <is>
          <t>P</t>
        </is>
      </c>
      <c r="P10" s="9" t="n">
        <v>10</v>
      </c>
      <c r="Q10" s="4" t="inlineStr">
        <is>
          <t>P</t>
        </is>
      </c>
      <c r="R10" s="4" t="inlineStr">
        <is>
          <t>P</t>
        </is>
      </c>
      <c r="S10" s="4" t="inlineStr">
        <is>
          <t>P</t>
        </is>
      </c>
      <c r="T10" s="4" t="inlineStr">
        <is>
          <t>P</t>
        </is>
      </c>
      <c r="U10" s="9" t="n">
        <v>10</v>
      </c>
      <c r="V10" s="4" t="inlineStr">
        <is>
          <t>P</t>
        </is>
      </c>
      <c r="W10" s="4" t="inlineStr">
        <is>
          <t>P</t>
        </is>
      </c>
      <c r="X10" s="4" t="inlineStr">
        <is>
          <t>P</t>
        </is>
      </c>
      <c r="Y10" s="4" t="inlineStr">
        <is>
          <t>P</t>
        </is>
      </c>
      <c r="Z10" s="9" t="n">
        <v>10</v>
      </c>
      <c r="AA10" s="10">
        <f>AVERAGE(K10,P10,U10,Z10)</f>
        <v/>
      </c>
      <c r="AB10" s="11">
        <f>COUNTIF(G10:Z10,"P")</f>
        <v/>
      </c>
      <c r="AC10" s="12">
        <f>COUNTIF(G10:Z10,"L")</f>
        <v/>
      </c>
      <c r="AD10" s="13">
        <f>COUNTIF(G10:Z10,"A")</f>
        <v/>
      </c>
      <c r="AE10" s="14">
        <f>AB10+AC10</f>
        <v/>
      </c>
      <c r="AF10" s="8">
        <f>AE10/16*10</f>
        <v/>
      </c>
      <c r="AG10" s="8">
        <f>AA10</f>
        <v/>
      </c>
      <c r="AH10" s="8" t="n">
        <v>19</v>
      </c>
      <c r="AI10" s="5" t="n"/>
    </row>
    <row r="11">
      <c r="A11" s="50" t="n"/>
      <c r="B11" s="4" t="n">
        <v>3</v>
      </c>
      <c r="C11" s="4" t="n">
        <v>3</v>
      </c>
      <c r="D11" s="7" t="inlineStr">
        <is>
          <t>حمد راشد حمد عبدالله المري</t>
        </is>
      </c>
      <c r="E11" s="15" t="inlineStr">
        <is>
          <t>NA</t>
        </is>
      </c>
      <c r="F11" s="15" t="inlineStr">
        <is>
          <t>NA</t>
        </is>
      </c>
      <c r="G11" s="4" t="inlineStr">
        <is>
          <t>P</t>
        </is>
      </c>
      <c r="H11" s="4" t="inlineStr">
        <is>
          <t>P</t>
        </is>
      </c>
      <c r="I11" s="4" t="inlineStr">
        <is>
          <t>P</t>
        </is>
      </c>
      <c r="J11" s="4" t="inlineStr">
        <is>
          <t>A</t>
        </is>
      </c>
      <c r="K11" s="9" t="n">
        <v>5</v>
      </c>
      <c r="L11" s="4" t="inlineStr">
        <is>
          <t>A</t>
        </is>
      </c>
      <c r="M11" s="4" t="inlineStr">
        <is>
          <t>A</t>
        </is>
      </c>
      <c r="N11" s="4" t="inlineStr">
        <is>
          <t>P</t>
        </is>
      </c>
      <c r="O11" s="4" t="inlineStr">
        <is>
          <t>P</t>
        </is>
      </c>
      <c r="P11" s="9" t="n">
        <v>5</v>
      </c>
      <c r="Q11" s="4" t="inlineStr">
        <is>
          <t>a</t>
        </is>
      </c>
      <c r="R11" s="4" t="inlineStr">
        <is>
          <t>A</t>
        </is>
      </c>
      <c r="S11" s="4" t="inlineStr">
        <is>
          <t>P</t>
        </is>
      </c>
      <c r="T11" s="4" t="inlineStr">
        <is>
          <t>P</t>
        </is>
      </c>
      <c r="U11" s="9" t="n">
        <v>5</v>
      </c>
      <c r="V11" s="4" t="inlineStr">
        <is>
          <t>a</t>
        </is>
      </c>
      <c r="W11" s="4" t="inlineStr">
        <is>
          <t>A</t>
        </is>
      </c>
      <c r="X11" s="4" t="inlineStr">
        <is>
          <t>a</t>
        </is>
      </c>
      <c r="Y11" s="4" t="inlineStr">
        <is>
          <t>a</t>
        </is>
      </c>
      <c r="Z11" s="9" t="n">
        <v>5</v>
      </c>
      <c r="AA11" s="10">
        <f>AVERAGE(K11,P11,U11,Z11)</f>
        <v/>
      </c>
      <c r="AB11" s="11">
        <f>COUNTIF(G11:Z11,"P")</f>
        <v/>
      </c>
      <c r="AC11" s="12">
        <f>COUNTIF(G11:Z11,"L")</f>
        <v/>
      </c>
      <c r="AD11" s="13">
        <f>COUNTIF(G11:Z11,"A")</f>
        <v/>
      </c>
      <c r="AE11" s="14">
        <f>AB11+AC11</f>
        <v/>
      </c>
      <c r="AF11" s="8">
        <f>AE11/16*10</f>
        <v/>
      </c>
      <c r="AG11" s="8">
        <f>AA11</f>
        <v/>
      </c>
      <c r="AH11" s="8" t="n">
        <v>18</v>
      </c>
      <c r="AI11" s="5" t="n"/>
    </row>
    <row r="12">
      <c r="A12" s="50" t="n"/>
      <c r="B12" s="4" t="n">
        <v>4</v>
      </c>
      <c r="C12" s="4" t="n">
        <v>4</v>
      </c>
      <c r="D12" s="7" t="inlineStr">
        <is>
          <t>حمد عبدالله احمد سليمان الحارثى</t>
        </is>
      </c>
      <c r="E12" s="15" t="inlineStr">
        <is>
          <t>NA</t>
        </is>
      </c>
      <c r="F12" s="15" t="inlineStr">
        <is>
          <t>NA</t>
        </is>
      </c>
      <c r="G12" s="4" t="n"/>
      <c r="H12" s="4" t="n"/>
      <c r="I12" s="4" t="n"/>
      <c r="J12" s="4" t="n"/>
      <c r="K12" s="9" t="n">
        <v>0</v>
      </c>
      <c r="L12" s="4" t="n"/>
      <c r="M12" s="4" t="n"/>
      <c r="N12" s="4" t="n"/>
      <c r="O12" s="4" t="n"/>
      <c r="P12" s="9" t="n">
        <v>0</v>
      </c>
      <c r="Q12" s="4" t="n"/>
      <c r="R12" s="4" t="n"/>
      <c r="S12" s="4" t="n"/>
      <c r="T12" s="4" t="n"/>
      <c r="U12" s="9" t="n">
        <v>0</v>
      </c>
      <c r="V12" s="4" t="n"/>
      <c r="W12" s="4" t="n"/>
      <c r="X12" s="4" t="n"/>
      <c r="Y12" s="4" t="n"/>
      <c r="Z12" s="9" t="n">
        <v>0</v>
      </c>
      <c r="AA12" s="10">
        <f>AVERAGE(K12,P12,U12,Z12)</f>
        <v/>
      </c>
      <c r="AB12" s="11">
        <f>COUNTIF(G12:Z12,"P")</f>
        <v/>
      </c>
      <c r="AC12" s="12">
        <f>COUNTIF(G12:Z12,"L")</f>
        <v/>
      </c>
      <c r="AD12" s="13">
        <f>COUNTIF(G12:Z12,"A")</f>
        <v/>
      </c>
      <c r="AE12" s="14">
        <f>AB12+AC12</f>
        <v/>
      </c>
      <c r="AF12" s="8">
        <f>AE12/16*10</f>
        <v/>
      </c>
      <c r="AG12" s="8">
        <f>AA12</f>
        <v/>
      </c>
      <c r="AH12" s="8" t="n">
        <v>20</v>
      </c>
      <c r="AI12" s="5" t="n"/>
    </row>
    <row r="13">
      <c r="A13" s="50" t="n"/>
      <c r="B13" s="4" t="n">
        <v>5</v>
      </c>
      <c r="C13" s="4" t="n">
        <v>5</v>
      </c>
      <c r="D13" s="7" t="inlineStr">
        <is>
          <t>حمد محمد على سالم الأحبابي</t>
        </is>
      </c>
      <c r="E13" s="15" t="inlineStr">
        <is>
          <t>NA</t>
        </is>
      </c>
      <c r="F13" s="15" t="inlineStr">
        <is>
          <t>NA</t>
        </is>
      </c>
      <c r="G13" s="4" t="n"/>
      <c r="H13" s="4" t="n"/>
      <c r="I13" s="4" t="n"/>
      <c r="J13" s="4" t="n"/>
      <c r="K13" s="9" t="n">
        <v>0</v>
      </c>
      <c r="L13" s="4" t="n"/>
      <c r="M13" s="4" t="n"/>
      <c r="N13" s="4" t="n"/>
      <c r="O13" s="4" t="n"/>
      <c r="P13" s="9" t="n">
        <v>0</v>
      </c>
      <c r="Q13" s="4" t="n"/>
      <c r="R13" s="4" t="n"/>
      <c r="S13" s="4" t="n"/>
      <c r="T13" s="4" t="n"/>
      <c r="U13" s="9" t="n">
        <v>0</v>
      </c>
      <c r="V13" s="4" t="n"/>
      <c r="W13" s="4" t="n"/>
      <c r="X13" s="4" t="n"/>
      <c r="Y13" s="4" t="n"/>
      <c r="Z13" s="9" t="n">
        <v>0</v>
      </c>
      <c r="AA13" s="10">
        <f>AVERAGE(K13,P13,U13,Z13)</f>
        <v/>
      </c>
      <c r="AB13" s="11">
        <f>COUNTIF(G13:Z13,"P")</f>
        <v/>
      </c>
      <c r="AC13" s="12">
        <f>COUNTIF(G13:Z13,"L")</f>
        <v/>
      </c>
      <c r="AD13" s="13">
        <f>COUNTIF(G13:Z13,"A")</f>
        <v/>
      </c>
      <c r="AE13" s="14">
        <f>AB13+AC13</f>
        <v/>
      </c>
      <c r="AF13" s="8">
        <f>AE13/16*10</f>
        <v/>
      </c>
      <c r="AG13" s="8">
        <f>AA13</f>
        <v/>
      </c>
      <c r="AH13" s="8" t="n">
        <v>18</v>
      </c>
      <c r="AI13" s="5" t="n"/>
    </row>
    <row r="14">
      <c r="A14" s="50" t="n"/>
      <c r="B14" s="4" t="n">
        <v>6</v>
      </c>
      <c r="C14" s="4" t="n">
        <v>6</v>
      </c>
      <c r="D14" s="7" t="inlineStr">
        <is>
          <t>حور محمد خليفه مباارك الربيعي</t>
        </is>
      </c>
      <c r="E14" s="15" t="inlineStr">
        <is>
          <t>NA</t>
        </is>
      </c>
      <c r="F14" s="15" t="inlineStr">
        <is>
          <t>NA</t>
        </is>
      </c>
      <c r="G14" s="4" t="n"/>
      <c r="H14" s="4" t="n"/>
      <c r="I14" s="4" t="n"/>
      <c r="J14" s="4" t="n"/>
      <c r="K14" s="9" t="n">
        <v>0</v>
      </c>
      <c r="L14" s="4" t="n"/>
      <c r="M14" s="4" t="n"/>
      <c r="N14" s="4" t="n"/>
      <c r="O14" s="4" t="n"/>
      <c r="P14" s="9" t="n">
        <v>0</v>
      </c>
      <c r="Q14" s="4" t="n"/>
      <c r="R14" s="4" t="n"/>
      <c r="S14" s="4" t="n"/>
      <c r="T14" s="4" t="n"/>
      <c r="U14" s="9" t="n">
        <v>0</v>
      </c>
      <c r="V14" s="4" t="n"/>
      <c r="W14" s="4" t="n"/>
      <c r="X14" s="4" t="n"/>
      <c r="Y14" s="4" t="n"/>
      <c r="Z14" s="9" t="n">
        <v>0</v>
      </c>
      <c r="AA14" s="10">
        <f>AVERAGE(K14,P14,U14,Z14)</f>
        <v/>
      </c>
      <c r="AB14" s="11">
        <f>COUNTIF(G14:Z14,"P")</f>
        <v/>
      </c>
      <c r="AC14" s="12">
        <f>COUNTIF(G14:Z14,"L")</f>
        <v/>
      </c>
      <c r="AD14" s="13">
        <f>COUNTIF(G14:Z14,"A")</f>
        <v/>
      </c>
      <c r="AE14" s="14">
        <f>AB14+AC14</f>
        <v/>
      </c>
      <c r="AF14" s="8">
        <f>AE14/16*10</f>
        <v/>
      </c>
      <c r="AG14" s="8">
        <f>AA14</f>
        <v/>
      </c>
      <c r="AH14" s="8" t="n">
        <v>19</v>
      </c>
      <c r="AI14" s="5" t="n"/>
    </row>
    <row r="15">
      <c r="A15" s="50" t="n"/>
      <c r="B15" s="4" t="n">
        <v>7</v>
      </c>
      <c r="C15" s="4" t="n">
        <v>7</v>
      </c>
      <c r="D15" s="7" t="inlineStr">
        <is>
          <t>خالد سعيد عبيد سعيد الظنحاني</t>
        </is>
      </c>
      <c r="E15" s="15" t="inlineStr">
        <is>
          <t>NA</t>
        </is>
      </c>
      <c r="F15" s="15" t="inlineStr">
        <is>
          <t>NA</t>
        </is>
      </c>
      <c r="G15" s="4" t="n"/>
      <c r="H15" s="4" t="n"/>
      <c r="I15" s="4" t="n"/>
      <c r="J15" s="4" t="n"/>
      <c r="K15" s="9" t="n">
        <v>0</v>
      </c>
      <c r="L15" s="4" t="n"/>
      <c r="M15" s="4" t="n"/>
      <c r="N15" s="4" t="n"/>
      <c r="O15" s="4" t="n"/>
      <c r="P15" s="9" t="n">
        <v>0</v>
      </c>
      <c r="Q15" s="4" t="n"/>
      <c r="R15" s="4" t="n"/>
      <c r="S15" s="4" t="n"/>
      <c r="T15" s="4" t="n"/>
      <c r="U15" s="9" t="n">
        <v>0</v>
      </c>
      <c r="V15" s="4" t="n"/>
      <c r="W15" s="4" t="n"/>
      <c r="X15" s="4" t="n"/>
      <c r="Y15" s="4" t="n"/>
      <c r="Z15" s="9" t="n">
        <v>0</v>
      </c>
      <c r="AA15" s="10">
        <f>AVERAGE(K15,P15,U15,Z15)</f>
        <v/>
      </c>
      <c r="AB15" s="11">
        <f>COUNTIF(G15:Z15,"P")</f>
        <v/>
      </c>
      <c r="AC15" s="12">
        <f>COUNTIF(G15:Z15,"L")</f>
        <v/>
      </c>
      <c r="AD15" s="13">
        <f>COUNTIF(G15:Z15,"A")</f>
        <v/>
      </c>
      <c r="AE15" s="14">
        <f>AB15+AC15</f>
        <v/>
      </c>
      <c r="AF15" s="8">
        <f>AE15/16*10</f>
        <v/>
      </c>
      <c r="AG15" s="8">
        <f>AA15</f>
        <v/>
      </c>
      <c r="AH15" s="8" t="n">
        <v>18</v>
      </c>
      <c r="AI15" s="5" t="n"/>
    </row>
    <row r="16">
      <c r="A16" s="50" t="n"/>
      <c r="B16" s="4" t="n">
        <v>8</v>
      </c>
      <c r="C16" s="4" t="n">
        <v>8</v>
      </c>
      <c r="D16" s="7" t="inlineStr">
        <is>
          <t>خالد مشعل علي شتوي القحطاني</t>
        </is>
      </c>
      <c r="E16" s="15" t="inlineStr">
        <is>
          <t>NA</t>
        </is>
      </c>
      <c r="F16" s="15" t="inlineStr">
        <is>
          <t>NA</t>
        </is>
      </c>
      <c r="G16" s="4" t="n"/>
      <c r="H16" s="4" t="n"/>
      <c r="I16" s="4" t="n"/>
      <c r="J16" s="4" t="n"/>
      <c r="K16" s="9" t="n">
        <v>0</v>
      </c>
      <c r="L16" s="4" t="n"/>
      <c r="M16" s="4" t="n"/>
      <c r="N16" s="4" t="n"/>
      <c r="O16" s="4" t="n"/>
      <c r="P16" s="9" t="n">
        <v>0</v>
      </c>
      <c r="Q16" s="4" t="n"/>
      <c r="R16" s="4" t="n"/>
      <c r="S16" s="4" t="n"/>
      <c r="T16" s="4" t="n"/>
      <c r="U16" s="9" t="n">
        <v>0</v>
      </c>
      <c r="V16" s="4" t="n"/>
      <c r="W16" s="4" t="n"/>
      <c r="X16" s="4" t="n"/>
      <c r="Y16" s="4" t="n"/>
      <c r="Z16" s="9" t="n">
        <v>0</v>
      </c>
      <c r="AA16" s="10">
        <f>AVERAGE(K16,P16,U16,Z16)</f>
        <v/>
      </c>
      <c r="AB16" s="11">
        <f>COUNTIF(G16:Z16,"P")</f>
        <v/>
      </c>
      <c r="AC16" s="12">
        <f>COUNTIF(G16:Z16,"L")</f>
        <v/>
      </c>
      <c r="AD16" s="13">
        <f>COUNTIF(G16:Z16,"A")</f>
        <v/>
      </c>
      <c r="AE16" s="14">
        <f>AB16+AC16</f>
        <v/>
      </c>
      <c r="AF16" s="8">
        <f>AE16/16*10</f>
        <v/>
      </c>
      <c r="AG16" s="8">
        <f>AA16</f>
        <v/>
      </c>
      <c r="AH16" s="8" t="n">
        <v>19</v>
      </c>
      <c r="AI16" s="5" t="n"/>
    </row>
    <row r="17">
      <c r="A17" s="50" t="n"/>
      <c r="B17" s="4" t="n">
        <v>9</v>
      </c>
      <c r="C17" s="4" t="n">
        <v>9</v>
      </c>
      <c r="D17" s="7" t="inlineStr">
        <is>
          <t>خميس جميل خميس درويش السعدي</t>
        </is>
      </c>
      <c r="E17" s="15" t="inlineStr">
        <is>
          <t>NA</t>
        </is>
      </c>
      <c r="F17" s="15" t="inlineStr">
        <is>
          <t>NA</t>
        </is>
      </c>
      <c r="G17" s="4" t="n"/>
      <c r="H17" s="4" t="n"/>
      <c r="I17" s="4" t="n"/>
      <c r="J17" s="4" t="n"/>
      <c r="K17" s="9" t="n">
        <v>0</v>
      </c>
      <c r="L17" s="4" t="n"/>
      <c r="M17" s="4" t="n"/>
      <c r="N17" s="4" t="n"/>
      <c r="O17" s="4" t="n"/>
      <c r="P17" s="9" t="n">
        <v>0</v>
      </c>
      <c r="Q17" s="4" t="n"/>
      <c r="R17" s="4" t="n"/>
      <c r="S17" s="4" t="n"/>
      <c r="T17" s="4" t="n"/>
      <c r="U17" s="9" t="n">
        <v>0</v>
      </c>
      <c r="V17" s="4" t="n"/>
      <c r="W17" s="4" t="n"/>
      <c r="X17" s="4" t="n"/>
      <c r="Y17" s="4" t="n"/>
      <c r="Z17" s="9" t="n">
        <v>0</v>
      </c>
      <c r="AA17" s="10">
        <f>AVERAGE(K17,P17,U17,Z17)</f>
        <v/>
      </c>
      <c r="AB17" s="11">
        <f>COUNTIF(G17:Z17,"P")</f>
        <v/>
      </c>
      <c r="AC17" s="12">
        <f>COUNTIF(G17:Z17,"L")</f>
        <v/>
      </c>
      <c r="AD17" s="13">
        <f>COUNTIF(G17:Z17,"A")</f>
        <v/>
      </c>
      <c r="AE17" s="14">
        <f>AB17+AC17</f>
        <v/>
      </c>
      <c r="AF17" s="8">
        <f>AE17/16*10</f>
        <v/>
      </c>
      <c r="AG17" s="8">
        <f>AA17</f>
        <v/>
      </c>
      <c r="AH17" s="8" t="n">
        <v>19</v>
      </c>
      <c r="AI17" s="5" t="n"/>
    </row>
    <row r="18">
      <c r="A18" s="50" t="n"/>
      <c r="B18" s="4" t="n">
        <v>10</v>
      </c>
      <c r="C18" s="4" t="n">
        <v>10</v>
      </c>
      <c r="D18" s="7" t="inlineStr">
        <is>
          <t>دلال ظافر سعيد حسين الأحبابي</t>
        </is>
      </c>
      <c r="E18" s="15" t="inlineStr">
        <is>
          <t>NA</t>
        </is>
      </c>
      <c r="F18" s="15" t="inlineStr">
        <is>
          <t>NA</t>
        </is>
      </c>
      <c r="G18" s="4" t="n"/>
      <c r="H18" s="4" t="n"/>
      <c r="I18" s="4" t="n"/>
      <c r="J18" s="4" t="n"/>
      <c r="K18" s="9" t="n">
        <v>0</v>
      </c>
      <c r="L18" s="4" t="n"/>
      <c r="M18" s="4" t="n"/>
      <c r="N18" s="4" t="n"/>
      <c r="O18" s="4" t="n"/>
      <c r="P18" s="9" t="n">
        <v>0</v>
      </c>
      <c r="Q18" s="4" t="n"/>
      <c r="R18" s="4" t="n"/>
      <c r="S18" s="4" t="n"/>
      <c r="T18" s="4" t="n"/>
      <c r="U18" s="9" t="n">
        <v>0</v>
      </c>
      <c r="V18" s="4" t="n"/>
      <c r="W18" s="4" t="n"/>
      <c r="X18" s="4" t="n"/>
      <c r="Y18" s="4" t="n"/>
      <c r="Z18" s="9" t="n">
        <v>0</v>
      </c>
      <c r="AA18" s="10">
        <f>AVERAGE(K18,P18,U18,Z18)</f>
        <v/>
      </c>
      <c r="AB18" s="11">
        <f>COUNTIF(G18:Z18,"P")</f>
        <v/>
      </c>
      <c r="AC18" s="12">
        <f>COUNTIF(G18:Z18,"L")</f>
        <v/>
      </c>
      <c r="AD18" s="13">
        <f>COUNTIF(G18:Z18,"A")</f>
        <v/>
      </c>
      <c r="AE18" s="14">
        <f>AB18+AC18</f>
        <v/>
      </c>
      <c r="AF18" s="8">
        <f>AE18/16*10</f>
        <v/>
      </c>
      <c r="AG18" s="8">
        <f>AA18</f>
        <v/>
      </c>
      <c r="AH18" s="8" t="n">
        <v>19</v>
      </c>
      <c r="AI18" s="5" t="n"/>
    </row>
    <row r="19">
      <c r="A19" s="50" t="n"/>
      <c r="B19" s="4" t="n">
        <v>11</v>
      </c>
      <c r="C19" s="4" t="n">
        <v>11</v>
      </c>
      <c r="D19" s="7" t="inlineStr">
        <is>
          <t>روضه سالم ناصر صابر البلوشي</t>
        </is>
      </c>
      <c r="E19" s="15" t="inlineStr">
        <is>
          <t>NA</t>
        </is>
      </c>
      <c r="F19" s="15" t="inlineStr">
        <is>
          <t>NA</t>
        </is>
      </c>
      <c r="G19" s="4" t="n"/>
      <c r="H19" s="4" t="n"/>
      <c r="I19" s="4" t="n"/>
      <c r="J19" s="4" t="n"/>
      <c r="K19" s="9" t="n">
        <v>0</v>
      </c>
      <c r="L19" s="4" t="n"/>
      <c r="M19" s="4" t="n"/>
      <c r="N19" s="4" t="n"/>
      <c r="O19" s="4" t="n"/>
      <c r="P19" s="9" t="n">
        <v>0</v>
      </c>
      <c r="Q19" s="4" t="n"/>
      <c r="R19" s="4" t="n"/>
      <c r="S19" s="4" t="n"/>
      <c r="T19" s="4" t="n"/>
      <c r="U19" s="9" t="n">
        <v>0</v>
      </c>
      <c r="V19" s="4" t="n"/>
      <c r="W19" s="4" t="n"/>
      <c r="X19" s="4" t="n"/>
      <c r="Y19" s="4" t="n"/>
      <c r="Z19" s="9" t="n">
        <v>0</v>
      </c>
      <c r="AA19" s="10">
        <f>AVERAGE(K19,P19,U19,Z19)</f>
        <v/>
      </c>
      <c r="AB19" s="11">
        <f>COUNTIF(G19:Z19,"P")</f>
        <v/>
      </c>
      <c r="AC19" s="12">
        <f>COUNTIF(G19:Z19,"L")</f>
        <v/>
      </c>
      <c r="AD19" s="13">
        <f>COUNTIF(G19:Z19,"A")</f>
        <v/>
      </c>
      <c r="AE19" s="14">
        <f>AB19+AC19</f>
        <v/>
      </c>
      <c r="AF19" s="8">
        <f>AE19/16*10</f>
        <v/>
      </c>
      <c r="AG19" s="8">
        <f>AA19</f>
        <v/>
      </c>
      <c r="AH19" s="8" t="n">
        <v>20</v>
      </c>
      <c r="AI19" s="5" t="n"/>
    </row>
    <row r="20">
      <c r="A20" s="50" t="n"/>
      <c r="B20" s="4" t="n">
        <v>12</v>
      </c>
      <c r="C20" s="4" t="n">
        <v>12</v>
      </c>
      <c r="D20" s="7" t="inlineStr">
        <is>
          <t>زايد بن ناصر بن سعيد بن محمد العامري</t>
        </is>
      </c>
      <c r="E20" s="15" t="inlineStr">
        <is>
          <t>NA</t>
        </is>
      </c>
      <c r="F20" s="15" t="inlineStr">
        <is>
          <t>NA</t>
        </is>
      </c>
      <c r="G20" s="4" t="n"/>
      <c r="H20" s="4" t="n"/>
      <c r="I20" s="4" t="n"/>
      <c r="J20" s="4" t="n"/>
      <c r="K20" s="9" t="n">
        <v>0</v>
      </c>
      <c r="L20" s="4" t="n"/>
      <c r="M20" s="4" t="n"/>
      <c r="N20" s="4" t="n"/>
      <c r="O20" s="4" t="n"/>
      <c r="P20" s="9" t="n">
        <v>0</v>
      </c>
      <c r="Q20" s="4" t="n"/>
      <c r="R20" s="4" t="n"/>
      <c r="S20" s="4" t="n"/>
      <c r="T20" s="4" t="n"/>
      <c r="U20" s="9" t="n">
        <v>0</v>
      </c>
      <c r="V20" s="4" t="n"/>
      <c r="W20" s="4" t="n"/>
      <c r="X20" s="4" t="n"/>
      <c r="Y20" s="4" t="n"/>
      <c r="Z20" s="9" t="n">
        <v>0</v>
      </c>
      <c r="AA20" s="10">
        <f>AVERAGE(K20,P20,U20,Z20)</f>
        <v/>
      </c>
      <c r="AB20" s="11">
        <f>COUNTIF(G20:Z20,"P")</f>
        <v/>
      </c>
      <c r="AC20" s="12">
        <f>COUNTIF(G20:Z20,"L")</f>
        <v/>
      </c>
      <c r="AD20" s="13">
        <f>COUNTIF(G20:Z20,"A")</f>
        <v/>
      </c>
      <c r="AE20" s="14">
        <f>AB20+AC20</f>
        <v/>
      </c>
      <c r="AF20" s="8">
        <f>AE20/16*10</f>
        <v/>
      </c>
      <c r="AG20" s="8">
        <f>AA20</f>
        <v/>
      </c>
      <c r="AH20" s="8" t="n">
        <v>19</v>
      </c>
      <c r="AI20" s="5" t="n"/>
    </row>
    <row r="21">
      <c r="A21" s="50" t="n"/>
      <c r="B21" s="4" t="n">
        <v>13</v>
      </c>
      <c r="C21" s="4" t="n">
        <v>13</v>
      </c>
      <c r="D21" s="7" t="inlineStr">
        <is>
          <t>سلامه عبدالله محمد عايض الأحبابي</t>
        </is>
      </c>
      <c r="E21" s="15" t="inlineStr">
        <is>
          <t>NA</t>
        </is>
      </c>
      <c r="F21" s="15" t="inlineStr">
        <is>
          <t>NA</t>
        </is>
      </c>
      <c r="G21" s="4" t="n"/>
      <c r="H21" s="4" t="n"/>
      <c r="I21" s="4" t="n"/>
      <c r="J21" s="4" t="n"/>
      <c r="K21" s="9" t="n">
        <v>0</v>
      </c>
      <c r="L21" s="4" t="n"/>
      <c r="M21" s="4" t="n"/>
      <c r="N21" s="4" t="n"/>
      <c r="O21" s="4" t="n"/>
      <c r="P21" s="9" t="n">
        <v>0</v>
      </c>
      <c r="Q21" s="4" t="n"/>
      <c r="R21" s="4" t="n"/>
      <c r="S21" s="4" t="n"/>
      <c r="T21" s="4" t="n"/>
      <c r="U21" s="9" t="n">
        <v>0</v>
      </c>
      <c r="V21" s="4" t="n"/>
      <c r="W21" s="4" t="n"/>
      <c r="X21" s="4" t="n"/>
      <c r="Y21" s="4" t="n"/>
      <c r="Z21" s="9" t="n">
        <v>0</v>
      </c>
      <c r="AA21" s="10">
        <f>AVERAGE(K21,P21,U21,Z21)</f>
        <v/>
      </c>
      <c r="AB21" s="11">
        <f>COUNTIF(G21:Z21,"P")</f>
        <v/>
      </c>
      <c r="AC21" s="12">
        <f>COUNTIF(G21:Z21,"L")</f>
        <v/>
      </c>
      <c r="AD21" s="13">
        <f>COUNTIF(G21:Z21,"A")</f>
        <v/>
      </c>
      <c r="AE21" s="14">
        <f>AB21+AC21</f>
        <v/>
      </c>
      <c r="AF21" s="8">
        <f>AE21/16*10</f>
        <v/>
      </c>
      <c r="AG21" s="8">
        <f>AA21</f>
        <v/>
      </c>
      <c r="AH21" s="8" t="n">
        <v>18</v>
      </c>
      <c r="AI21" s="5" t="n"/>
    </row>
    <row r="22">
      <c r="A22" s="50" t="n"/>
      <c r="B22" s="4" t="n">
        <v>14</v>
      </c>
      <c r="C22" s="4" t="n">
        <v>14</v>
      </c>
      <c r="D22" s="7" t="inlineStr">
        <is>
          <t>سلمان محمد حسين محمد الأحبابي</t>
        </is>
      </c>
      <c r="E22" s="15" t="inlineStr">
        <is>
          <t>NA</t>
        </is>
      </c>
      <c r="F22" s="15" t="inlineStr">
        <is>
          <t>NA</t>
        </is>
      </c>
      <c r="G22" s="4" t="n"/>
      <c r="H22" s="4" t="n"/>
      <c r="I22" s="4" t="n"/>
      <c r="J22" s="4" t="n"/>
      <c r="K22" s="9" t="n">
        <v>0</v>
      </c>
      <c r="L22" s="4" t="n"/>
      <c r="M22" s="4" t="n"/>
      <c r="N22" s="4" t="n"/>
      <c r="O22" s="4" t="n"/>
      <c r="P22" s="9" t="n">
        <v>0</v>
      </c>
      <c r="Q22" s="4" t="n"/>
      <c r="R22" s="4" t="n"/>
      <c r="S22" s="4" t="n"/>
      <c r="T22" s="4" t="n"/>
      <c r="U22" s="9" t="n">
        <v>0</v>
      </c>
      <c r="V22" s="4" t="n"/>
      <c r="W22" s="4" t="n"/>
      <c r="X22" s="4" t="n"/>
      <c r="Y22" s="4" t="n"/>
      <c r="Z22" s="9" t="n">
        <v>0</v>
      </c>
      <c r="AA22" s="10">
        <f>AVERAGE(K22,P22,U22,Z22)</f>
        <v/>
      </c>
      <c r="AB22" s="11">
        <f>COUNTIF(G22:Z22,"P")</f>
        <v/>
      </c>
      <c r="AC22" s="12">
        <f>COUNTIF(G22:Z22,"L")</f>
        <v/>
      </c>
      <c r="AD22" s="13">
        <f>COUNTIF(G22:Z22,"A")</f>
        <v/>
      </c>
      <c r="AE22" s="14">
        <f>AB22+AC22</f>
        <v/>
      </c>
      <c r="AF22" s="8">
        <f>AE22/16*10</f>
        <v/>
      </c>
      <c r="AG22" s="8">
        <f>AA22</f>
        <v/>
      </c>
      <c r="AH22" s="8" t="n">
        <v>20</v>
      </c>
      <c r="AI22" s="5" t="n"/>
    </row>
    <row r="23">
      <c r="A23" s="50" t="n"/>
      <c r="B23" s="4" t="n">
        <v>15</v>
      </c>
      <c r="C23" s="4" t="n">
        <v>15</v>
      </c>
      <c r="D23" s="7" t="inlineStr">
        <is>
          <t>شمه خالد جمعه محمد</t>
        </is>
      </c>
      <c r="E23" s="15" t="inlineStr">
        <is>
          <t>NA</t>
        </is>
      </c>
      <c r="F23" s="15" t="inlineStr">
        <is>
          <t>NA</t>
        </is>
      </c>
      <c r="G23" s="4" t="n"/>
      <c r="H23" s="4" t="n"/>
      <c r="I23" s="4" t="n"/>
      <c r="J23" s="4" t="n"/>
      <c r="K23" s="9" t="n">
        <v>0</v>
      </c>
      <c r="L23" s="4" t="n"/>
      <c r="M23" s="4" t="n"/>
      <c r="N23" s="4" t="n"/>
      <c r="O23" s="4" t="n"/>
      <c r="P23" s="9" t="n">
        <v>0</v>
      </c>
      <c r="Q23" s="4" t="n"/>
      <c r="R23" s="4" t="n"/>
      <c r="S23" s="4" t="n"/>
      <c r="T23" s="4" t="n"/>
      <c r="U23" s="9" t="n">
        <v>0</v>
      </c>
      <c r="V23" s="4" t="n"/>
      <c r="W23" s="4" t="n"/>
      <c r="X23" s="4" t="n"/>
      <c r="Y23" s="4" t="n"/>
      <c r="Z23" s="9" t="n">
        <v>0</v>
      </c>
      <c r="AA23" s="10">
        <f>AVERAGE(K23,P23,U23,Z23)</f>
        <v/>
      </c>
      <c r="AB23" s="11">
        <f>COUNTIF(G23:Z23,"P")</f>
        <v/>
      </c>
      <c r="AC23" s="12">
        <f>COUNTIF(G23:Z23,"L")</f>
        <v/>
      </c>
      <c r="AD23" s="13">
        <f>COUNTIF(G23:Z23,"A")</f>
        <v/>
      </c>
      <c r="AE23" s="14">
        <f>AB23+AC23</f>
        <v/>
      </c>
      <c r="AF23" s="8">
        <f>AE23/16*10</f>
        <v/>
      </c>
      <c r="AG23" s="8">
        <f>AA23</f>
        <v/>
      </c>
      <c r="AH23" s="8" t="n">
        <v>18</v>
      </c>
      <c r="AI23" s="5" t="n"/>
    </row>
    <row r="24">
      <c r="A24" s="50" t="n"/>
      <c r="B24" s="4" t="n">
        <v>16</v>
      </c>
      <c r="C24" s="4" t="n">
        <v>16</v>
      </c>
      <c r="D24" s="7" t="inlineStr">
        <is>
          <t>عبدالله خليفه عبدالله سالم</t>
        </is>
      </c>
      <c r="E24" s="15" t="inlineStr">
        <is>
          <t>NA</t>
        </is>
      </c>
      <c r="F24" s="15" t="inlineStr">
        <is>
          <t>NA</t>
        </is>
      </c>
      <c r="G24" s="4" t="n"/>
      <c r="H24" s="4" t="n"/>
      <c r="I24" s="4" t="n"/>
      <c r="J24" s="4" t="n"/>
      <c r="K24" s="9" t="n">
        <v>0</v>
      </c>
      <c r="L24" s="4" t="n"/>
      <c r="M24" s="4" t="n"/>
      <c r="N24" s="4" t="n"/>
      <c r="O24" s="4" t="n"/>
      <c r="P24" s="9" t="n">
        <v>0</v>
      </c>
      <c r="Q24" s="4" t="n"/>
      <c r="R24" s="4" t="n"/>
      <c r="S24" s="4" t="n"/>
      <c r="T24" s="4" t="n"/>
      <c r="U24" s="9" t="n">
        <v>0</v>
      </c>
      <c r="V24" s="4" t="n"/>
      <c r="W24" s="4" t="n"/>
      <c r="X24" s="4" t="n"/>
      <c r="Y24" s="4" t="n"/>
      <c r="Z24" s="9" t="n">
        <v>0</v>
      </c>
      <c r="AA24" s="10">
        <f>AVERAGE(K24,P24,U24,Z24)</f>
        <v/>
      </c>
      <c r="AB24" s="11">
        <f>COUNTIF(G24:Z24,"P")</f>
        <v/>
      </c>
      <c r="AC24" s="12">
        <f>COUNTIF(G24:Z24,"L")</f>
        <v/>
      </c>
      <c r="AD24" s="13">
        <f>COUNTIF(G24:Z24,"A")</f>
        <v/>
      </c>
      <c r="AE24" s="14">
        <f>AB24+AC24</f>
        <v/>
      </c>
      <c r="AF24" s="8">
        <f>AE24/16*10</f>
        <v/>
      </c>
      <c r="AG24" s="8">
        <f>AA24</f>
        <v/>
      </c>
      <c r="AH24" s="8" t="n">
        <v>19</v>
      </c>
      <c r="AI24" s="5" t="n"/>
    </row>
    <row r="25">
      <c r="A25" s="50" t="n"/>
      <c r="B25" s="4" t="n">
        <v>17</v>
      </c>
      <c r="C25" s="4" t="n">
        <v>17</v>
      </c>
      <c r="D25" s="7" t="inlineStr">
        <is>
          <t>عبدالله عمر عبدالله مراد البلوشي</t>
        </is>
      </c>
      <c r="E25" s="15" t="inlineStr">
        <is>
          <t>NA</t>
        </is>
      </c>
      <c r="F25" s="15" t="inlineStr">
        <is>
          <t>NA</t>
        </is>
      </c>
      <c r="G25" s="4" t="n"/>
      <c r="H25" s="4" t="n"/>
      <c r="I25" s="4" t="n"/>
      <c r="J25" s="4" t="n"/>
      <c r="K25" s="9" t="n">
        <v>0</v>
      </c>
      <c r="L25" s="4" t="n"/>
      <c r="M25" s="4" t="n"/>
      <c r="N25" s="4" t="n"/>
      <c r="O25" s="4" t="n"/>
      <c r="P25" s="9" t="n">
        <v>0</v>
      </c>
      <c r="Q25" s="4" t="n"/>
      <c r="R25" s="4" t="n"/>
      <c r="S25" s="4" t="n"/>
      <c r="T25" s="4" t="n"/>
      <c r="U25" s="9" t="n">
        <v>0</v>
      </c>
      <c r="V25" s="4" t="n"/>
      <c r="W25" s="4" t="n"/>
      <c r="X25" s="4" t="n"/>
      <c r="Y25" s="4" t="n"/>
      <c r="Z25" s="9" t="n">
        <v>0</v>
      </c>
      <c r="AA25" s="10">
        <f>AVERAGE(K25,P25,U25,Z25)</f>
        <v/>
      </c>
      <c r="AB25" s="11">
        <f>COUNTIF(G25:Z25,"P")</f>
        <v/>
      </c>
      <c r="AC25" s="12">
        <f>COUNTIF(G25:Z25,"L")</f>
        <v/>
      </c>
      <c r="AD25" s="13">
        <f>COUNTIF(G25:Z25,"A")</f>
        <v/>
      </c>
      <c r="AE25" s="14">
        <f>AB25+AC25</f>
        <v/>
      </c>
      <c r="AF25" s="8">
        <f>AE25/16*10</f>
        <v/>
      </c>
      <c r="AG25" s="8">
        <f>AA25</f>
        <v/>
      </c>
      <c r="AH25" s="8" t="n">
        <v>20</v>
      </c>
      <c r="AI25" s="5" t="n"/>
    </row>
    <row r="26">
      <c r="A26" s="50" t="n"/>
      <c r="B26" s="4" t="n">
        <v>18</v>
      </c>
      <c r="C26" s="4" t="n">
        <v>18</v>
      </c>
      <c r="D26" s="7" t="inlineStr">
        <is>
          <t>عوض سعيد مطر غميل النعيمي</t>
        </is>
      </c>
      <c r="E26" s="15" t="inlineStr">
        <is>
          <t>NA</t>
        </is>
      </c>
      <c r="F26" s="15" t="inlineStr">
        <is>
          <t>NA</t>
        </is>
      </c>
      <c r="G26" s="4" t="n"/>
      <c r="H26" s="4" t="n"/>
      <c r="I26" s="4" t="n"/>
      <c r="J26" s="4" t="n"/>
      <c r="K26" s="9" t="n">
        <v>0</v>
      </c>
      <c r="L26" s="4" t="n"/>
      <c r="M26" s="4" t="n"/>
      <c r="N26" s="4" t="n"/>
      <c r="O26" s="4" t="n"/>
      <c r="P26" s="9" t="n">
        <v>0</v>
      </c>
      <c r="Q26" s="4" t="n"/>
      <c r="R26" s="4" t="n"/>
      <c r="S26" s="4" t="n"/>
      <c r="T26" s="4" t="n"/>
      <c r="U26" s="9" t="n">
        <v>0</v>
      </c>
      <c r="V26" s="4" t="n"/>
      <c r="W26" s="4" t="n"/>
      <c r="X26" s="4" t="n"/>
      <c r="Y26" s="4" t="n"/>
      <c r="Z26" s="9" t="n">
        <v>0</v>
      </c>
      <c r="AA26" s="10">
        <f>AVERAGE(K26,P26,U26,Z26)</f>
        <v/>
      </c>
      <c r="AB26" s="11">
        <f>COUNTIF(G26:Z26,"P")</f>
        <v/>
      </c>
      <c r="AC26" s="12">
        <f>COUNTIF(G26:Z26,"L")</f>
        <v/>
      </c>
      <c r="AD26" s="13">
        <f>COUNTIF(G26:Z26,"A")</f>
        <v/>
      </c>
      <c r="AE26" s="14">
        <f>AB26+AC26</f>
        <v/>
      </c>
      <c r="AF26" s="8">
        <f>AE26/16*10</f>
        <v/>
      </c>
      <c r="AG26" s="8">
        <f>AA26</f>
        <v/>
      </c>
      <c r="AH26" s="8" t="n">
        <v>18</v>
      </c>
      <c r="AI26" s="5" t="n"/>
    </row>
    <row r="27">
      <c r="A27" s="50" t="n"/>
      <c r="B27" s="4" t="n">
        <v>19</v>
      </c>
      <c r="C27" s="4" t="n">
        <v>19</v>
      </c>
      <c r="D27" s="7" t="inlineStr">
        <is>
          <t>غلا ايمن احمد سالمين الكثيري</t>
        </is>
      </c>
      <c r="E27" s="15" t="inlineStr">
        <is>
          <t>NA</t>
        </is>
      </c>
      <c r="F27" s="15" t="inlineStr">
        <is>
          <t>NA</t>
        </is>
      </c>
      <c r="G27" s="4" t="n"/>
      <c r="H27" s="4" t="n"/>
      <c r="I27" s="4" t="n"/>
      <c r="J27" s="4" t="n"/>
      <c r="K27" s="9" t="n">
        <v>0</v>
      </c>
      <c r="L27" s="4" t="n"/>
      <c r="M27" s="4" t="n"/>
      <c r="N27" s="4" t="n"/>
      <c r="O27" s="4" t="n"/>
      <c r="P27" s="9" t="n">
        <v>0</v>
      </c>
      <c r="Q27" s="4" t="n"/>
      <c r="R27" s="4" t="n"/>
      <c r="S27" s="4" t="n"/>
      <c r="T27" s="4" t="n"/>
      <c r="U27" s="9" t="n">
        <v>0</v>
      </c>
      <c r="V27" s="4" t="n"/>
      <c r="W27" s="4" t="n"/>
      <c r="X27" s="4" t="n"/>
      <c r="Y27" s="4" t="n"/>
      <c r="Z27" s="9" t="n">
        <v>0</v>
      </c>
      <c r="AA27" s="10">
        <f>AVERAGE(K27,P27,U27,Z27)</f>
        <v/>
      </c>
      <c r="AB27" s="11">
        <f>COUNTIF(G27:Z27,"P")</f>
        <v/>
      </c>
      <c r="AC27" s="12">
        <f>COUNTIF(G27:Z27,"L")</f>
        <v/>
      </c>
      <c r="AD27" s="13">
        <f>COUNTIF(G27:Z27,"A")</f>
        <v/>
      </c>
      <c r="AE27" s="14">
        <f>AB27+AC27</f>
        <v/>
      </c>
      <c r="AF27" s="8">
        <f>AE27/16*10</f>
        <v/>
      </c>
      <c r="AG27" s="8">
        <f>AA27</f>
        <v/>
      </c>
      <c r="AH27" s="8" t="n">
        <v>18</v>
      </c>
      <c r="AI27" s="5" t="n"/>
    </row>
    <row r="28">
      <c r="A28" s="50" t="n"/>
      <c r="B28" s="4" t="n">
        <v>20</v>
      </c>
      <c r="C28" s="4" t="n">
        <v>20</v>
      </c>
      <c r="D28" s="7" t="inlineStr">
        <is>
          <t>فاطمه سالم علي جمعه الكعبي</t>
        </is>
      </c>
      <c r="E28" s="15" t="inlineStr">
        <is>
          <t>NA</t>
        </is>
      </c>
      <c r="F28" s="15" t="inlineStr">
        <is>
          <t>NA</t>
        </is>
      </c>
      <c r="G28" s="4" t="n"/>
      <c r="H28" s="4" t="n"/>
      <c r="I28" s="4" t="n"/>
      <c r="J28" s="4" t="n"/>
      <c r="K28" s="9" t="n">
        <v>0</v>
      </c>
      <c r="L28" s="4" t="n"/>
      <c r="M28" s="4" t="n"/>
      <c r="N28" s="4" t="n"/>
      <c r="O28" s="4" t="n"/>
      <c r="P28" s="9" t="n">
        <v>0</v>
      </c>
      <c r="Q28" s="4" t="n"/>
      <c r="R28" s="4" t="n"/>
      <c r="S28" s="4" t="n"/>
      <c r="T28" s="4" t="n"/>
      <c r="U28" s="9" t="n">
        <v>0</v>
      </c>
      <c r="V28" s="4" t="n"/>
      <c r="W28" s="4" t="n"/>
      <c r="X28" s="4" t="n"/>
      <c r="Y28" s="4" t="n"/>
      <c r="Z28" s="9" t="n">
        <v>0</v>
      </c>
      <c r="AA28" s="10">
        <f>AVERAGE(K28,P28,U28,Z28)</f>
        <v/>
      </c>
      <c r="AB28" s="11">
        <f>COUNTIF(G28:Z28,"P")</f>
        <v/>
      </c>
      <c r="AC28" s="12">
        <f>COUNTIF(G28:Z28,"L")</f>
        <v/>
      </c>
      <c r="AD28" s="13">
        <f>COUNTIF(G28:Z28,"A")</f>
        <v/>
      </c>
      <c r="AE28" s="14">
        <f>AB28+AC28</f>
        <v/>
      </c>
      <c r="AF28" s="8">
        <f>AE28/16*10</f>
        <v/>
      </c>
      <c r="AG28" s="8">
        <f>AA28</f>
        <v/>
      </c>
      <c r="AH28" s="8" t="n">
        <v>19</v>
      </c>
      <c r="AI28" s="5" t="n"/>
    </row>
    <row r="29">
      <c r="A29" s="50" t="n"/>
      <c r="B29" s="4" t="n">
        <v>21</v>
      </c>
      <c r="C29" s="4" t="n">
        <v>21</v>
      </c>
      <c r="D29" s="7" t="inlineStr">
        <is>
          <t>فاطمه سلطان خميس سعيد المقبالي</t>
        </is>
      </c>
      <c r="E29" s="15" t="inlineStr">
        <is>
          <t>NA</t>
        </is>
      </c>
      <c r="F29" s="15" t="inlineStr">
        <is>
          <t>NA</t>
        </is>
      </c>
      <c r="G29" s="4" t="n"/>
      <c r="H29" s="4" t="n"/>
      <c r="I29" s="4" t="n"/>
      <c r="J29" s="4" t="n"/>
      <c r="K29" s="9" t="n">
        <v>0</v>
      </c>
      <c r="L29" s="4" t="n"/>
      <c r="M29" s="4" t="n"/>
      <c r="N29" s="4" t="n"/>
      <c r="O29" s="4" t="n"/>
      <c r="P29" s="9" t="n">
        <v>0</v>
      </c>
      <c r="Q29" s="4" t="n"/>
      <c r="R29" s="4" t="n"/>
      <c r="S29" s="4" t="n"/>
      <c r="T29" s="4" t="n"/>
      <c r="U29" s="9" t="n">
        <v>0</v>
      </c>
      <c r="V29" s="4" t="n"/>
      <c r="W29" s="4" t="n"/>
      <c r="X29" s="4" t="n"/>
      <c r="Y29" s="4" t="n"/>
      <c r="Z29" s="9" t="n">
        <v>0</v>
      </c>
      <c r="AA29" s="10">
        <f>AVERAGE(K29,P29,U29,Z29)</f>
        <v/>
      </c>
      <c r="AB29" s="11">
        <f>COUNTIF(G29:Z29,"P")</f>
        <v/>
      </c>
      <c r="AC29" s="12">
        <f>COUNTIF(G29:Z29,"L")</f>
        <v/>
      </c>
      <c r="AD29" s="13">
        <f>COUNTIF(G29:Z29,"A")</f>
        <v/>
      </c>
      <c r="AE29" s="14">
        <f>AB29+AC29</f>
        <v/>
      </c>
      <c r="AF29" s="8">
        <f>AE29/16*10</f>
        <v/>
      </c>
      <c r="AG29" s="8">
        <f>AA29</f>
        <v/>
      </c>
      <c r="AH29" s="8" t="n">
        <v>19</v>
      </c>
      <c r="AI29" s="5" t="n"/>
    </row>
    <row r="30">
      <c r="A30" s="50" t="n"/>
      <c r="B30" s="4" t="n">
        <v>22</v>
      </c>
      <c r="C30" s="4" t="n">
        <v>22</v>
      </c>
      <c r="D30" s="7" t="inlineStr">
        <is>
          <t>محمد بدر محمد غلام محمد</t>
        </is>
      </c>
      <c r="E30" s="15" t="inlineStr">
        <is>
          <t>NA</t>
        </is>
      </c>
      <c r="F30" s="15" t="inlineStr">
        <is>
          <t>NA</t>
        </is>
      </c>
      <c r="G30" s="4" t="n"/>
      <c r="H30" s="4" t="n"/>
      <c r="I30" s="4" t="n"/>
      <c r="J30" s="4" t="n"/>
      <c r="K30" s="9" t="n">
        <v>0</v>
      </c>
      <c r="L30" s="4" t="n"/>
      <c r="M30" s="4" t="n"/>
      <c r="N30" s="4" t="n"/>
      <c r="O30" s="4" t="n"/>
      <c r="P30" s="9" t="n">
        <v>0</v>
      </c>
      <c r="Q30" s="4" t="n"/>
      <c r="R30" s="4" t="n"/>
      <c r="S30" s="4" t="n"/>
      <c r="T30" s="4" t="n"/>
      <c r="U30" s="9" t="n">
        <v>0</v>
      </c>
      <c r="V30" s="4" t="n"/>
      <c r="W30" s="4" t="n"/>
      <c r="X30" s="4" t="n"/>
      <c r="Y30" s="4" t="n"/>
      <c r="Z30" s="9" t="n">
        <v>0</v>
      </c>
      <c r="AA30" s="10">
        <f>AVERAGE(K30,P30,U30,Z30)</f>
        <v/>
      </c>
      <c r="AB30" s="11">
        <f>COUNTIF(G30:Z30,"P")</f>
        <v/>
      </c>
      <c r="AC30" s="12">
        <f>COUNTIF(G30:Z30,"L")</f>
        <v/>
      </c>
      <c r="AD30" s="13">
        <f>COUNTIF(G30:Z30,"A")</f>
        <v/>
      </c>
      <c r="AE30" s="14">
        <f>AB30+AC30</f>
        <v/>
      </c>
      <c r="AF30" s="8">
        <f>AE30/16*10</f>
        <v/>
      </c>
      <c r="AG30" s="8">
        <f>AA30</f>
        <v/>
      </c>
      <c r="AH30" s="8" t="n">
        <v>19</v>
      </c>
      <c r="AI30" s="5" t="n"/>
    </row>
    <row r="31">
      <c r="A31" s="50" t="n"/>
      <c r="B31" s="4" t="n">
        <v>23</v>
      </c>
      <c r="C31" s="4" t="n">
        <v>23</v>
      </c>
      <c r="D31" s="7" t="inlineStr">
        <is>
          <t>مسلم سعيد سالم عيظه العامري</t>
        </is>
      </c>
      <c r="E31" s="15" t="inlineStr">
        <is>
          <t>NA</t>
        </is>
      </c>
      <c r="F31" s="15" t="inlineStr">
        <is>
          <t>NA</t>
        </is>
      </c>
      <c r="G31" s="4" t="n"/>
      <c r="H31" s="4" t="n"/>
      <c r="I31" s="4" t="n"/>
      <c r="J31" s="4" t="n"/>
      <c r="K31" s="9" t="n">
        <v>0</v>
      </c>
      <c r="L31" s="4" t="n"/>
      <c r="M31" s="4" t="n"/>
      <c r="N31" s="4" t="n"/>
      <c r="O31" s="4" t="n"/>
      <c r="P31" s="9" t="n">
        <v>0</v>
      </c>
      <c r="Q31" s="4" t="n"/>
      <c r="R31" s="4" t="n"/>
      <c r="S31" s="4" t="n"/>
      <c r="T31" s="4" t="n"/>
      <c r="U31" s="9" t="n">
        <v>0</v>
      </c>
      <c r="V31" s="4" t="n"/>
      <c r="W31" s="4" t="n"/>
      <c r="X31" s="4" t="n"/>
      <c r="Y31" s="4" t="n"/>
      <c r="Z31" s="9" t="n">
        <v>0</v>
      </c>
      <c r="AA31" s="10">
        <f>AVERAGE(K31,P31,U31,Z31)</f>
        <v/>
      </c>
      <c r="AB31" s="11">
        <f>COUNTIF(G31:Z31,"P")</f>
        <v/>
      </c>
      <c r="AC31" s="12">
        <f>COUNTIF(G31:Z31,"L")</f>
        <v/>
      </c>
      <c r="AD31" s="13">
        <f>COUNTIF(G31:Z31,"A")</f>
        <v/>
      </c>
      <c r="AE31" s="14">
        <f>AB31+AC31</f>
        <v/>
      </c>
      <c r="AF31" s="8">
        <f>AE31/16*10</f>
        <v/>
      </c>
      <c r="AG31" s="8">
        <f>AA31</f>
        <v/>
      </c>
      <c r="AH31" s="8" t="n">
        <v>18</v>
      </c>
      <c r="AI31" s="5" t="n"/>
    </row>
    <row r="32">
      <c r="A32" s="50" t="n"/>
      <c r="B32" s="4" t="n">
        <v>24</v>
      </c>
      <c r="C32" s="4" t="n">
        <v>24</v>
      </c>
      <c r="D32" s="7" t="inlineStr">
        <is>
          <t>منصور سالم خميس سعيد الساعدي</t>
        </is>
      </c>
      <c r="E32" s="15" t="inlineStr">
        <is>
          <t>NA</t>
        </is>
      </c>
      <c r="F32" s="15" t="inlineStr">
        <is>
          <t>NA</t>
        </is>
      </c>
      <c r="G32" s="4" t="n"/>
      <c r="H32" s="4" t="n"/>
      <c r="I32" s="4" t="n"/>
      <c r="J32" s="4" t="n"/>
      <c r="K32" s="9" t="n">
        <v>0</v>
      </c>
      <c r="L32" s="4" t="n"/>
      <c r="M32" s="4" t="n"/>
      <c r="N32" s="4" t="n"/>
      <c r="O32" s="4" t="n"/>
      <c r="P32" s="9" t="n">
        <v>0</v>
      </c>
      <c r="Q32" s="4" t="n"/>
      <c r="R32" s="4" t="n"/>
      <c r="S32" s="4" t="n"/>
      <c r="T32" s="4" t="n"/>
      <c r="U32" s="9" t="n">
        <v>0</v>
      </c>
      <c r="V32" s="4" t="n"/>
      <c r="W32" s="4" t="n"/>
      <c r="X32" s="4" t="n"/>
      <c r="Y32" s="4" t="n"/>
      <c r="Z32" s="9" t="n">
        <v>0</v>
      </c>
      <c r="AA32" s="10">
        <f>AVERAGE(K32,P32,U32,Z32)</f>
        <v/>
      </c>
      <c r="AB32" s="11">
        <f>COUNTIF(G32:Z32,"P")</f>
        <v/>
      </c>
      <c r="AC32" s="12">
        <f>COUNTIF(G32:Z32,"L")</f>
        <v/>
      </c>
      <c r="AD32" s="13">
        <f>COUNTIF(G32:Z32,"A")</f>
        <v/>
      </c>
      <c r="AE32" s="14">
        <f>AB32+AC32</f>
        <v/>
      </c>
      <c r="AF32" s="8">
        <f>AE32/16*10</f>
        <v/>
      </c>
      <c r="AG32" s="8">
        <f>AA32</f>
        <v/>
      </c>
      <c r="AH32" s="8" t="n">
        <v>20</v>
      </c>
      <c r="AI32" s="5" t="n"/>
    </row>
    <row r="33">
      <c r="A33" s="50" t="n"/>
      <c r="B33" s="4" t="n">
        <v>25</v>
      </c>
      <c r="C33" s="4" t="n">
        <v>25</v>
      </c>
      <c r="D33" s="7" t="inlineStr">
        <is>
          <t>ميره بنت خالد بن بن</t>
        </is>
      </c>
      <c r="E33" s="15" t="inlineStr">
        <is>
          <t>NA</t>
        </is>
      </c>
      <c r="F33" s="15" t="inlineStr">
        <is>
          <t>NA</t>
        </is>
      </c>
      <c r="G33" s="4" t="n"/>
      <c r="H33" s="4" t="n"/>
      <c r="I33" s="4" t="n"/>
      <c r="J33" s="4" t="n"/>
      <c r="K33" s="9" t="n">
        <v>0</v>
      </c>
      <c r="L33" s="4" t="n"/>
      <c r="M33" s="4" t="n"/>
      <c r="N33" s="4" t="n"/>
      <c r="O33" s="4" t="n"/>
      <c r="P33" s="9" t="n">
        <v>0</v>
      </c>
      <c r="Q33" s="4" t="n"/>
      <c r="R33" s="4" t="n"/>
      <c r="S33" s="4" t="n"/>
      <c r="T33" s="4" t="n"/>
      <c r="U33" s="9" t="n">
        <v>0</v>
      </c>
      <c r="V33" s="4" t="n"/>
      <c r="W33" s="4" t="n"/>
      <c r="X33" s="4" t="n"/>
      <c r="Y33" s="4" t="n"/>
      <c r="Z33" s="9" t="n">
        <v>0</v>
      </c>
      <c r="AA33" s="10">
        <f>AVERAGE(K33,P33,U33,Z33)</f>
        <v/>
      </c>
      <c r="AB33" s="11">
        <f>COUNTIF(G33:Z33,"P")</f>
        <v/>
      </c>
      <c r="AC33" s="12">
        <f>COUNTIF(G33:Z33,"L")</f>
        <v/>
      </c>
      <c r="AD33" s="13">
        <f>COUNTIF(G33:Z33,"A")</f>
        <v/>
      </c>
      <c r="AE33" s="14">
        <f>AB33+AC33</f>
        <v/>
      </c>
      <c r="AF33" s="8">
        <f>AE33/16*10</f>
        <v/>
      </c>
      <c r="AG33" s="8">
        <f>AA33</f>
        <v/>
      </c>
      <c r="AH33" s="8" t="n">
        <v>20</v>
      </c>
      <c r="AI33" s="5" t="n"/>
    </row>
    <row r="34">
      <c r="A34" s="50" t="n"/>
      <c r="B34" s="4" t="n">
        <v>26</v>
      </c>
      <c r="C34" s="4" t="n">
        <v>26</v>
      </c>
      <c r="D34" s="7" t="inlineStr">
        <is>
          <t>نايف يحيى سلطان سعيد الشامسي</t>
        </is>
      </c>
      <c r="E34" s="15" t="inlineStr">
        <is>
          <t>NA</t>
        </is>
      </c>
      <c r="F34" s="15" t="inlineStr">
        <is>
          <t>NA</t>
        </is>
      </c>
      <c r="G34" s="4" t="n"/>
      <c r="H34" s="4" t="n"/>
      <c r="I34" s="4" t="n"/>
      <c r="J34" s="4" t="n"/>
      <c r="K34" s="9" t="n">
        <v>0</v>
      </c>
      <c r="L34" s="4" t="n"/>
      <c r="M34" s="4" t="n"/>
      <c r="N34" s="4" t="n"/>
      <c r="O34" s="4" t="n"/>
      <c r="P34" s="9" t="n">
        <v>0</v>
      </c>
      <c r="Q34" s="4" t="n"/>
      <c r="R34" s="4" t="n"/>
      <c r="S34" s="4" t="n"/>
      <c r="T34" s="4" t="n"/>
      <c r="U34" s="9" t="n">
        <v>0</v>
      </c>
      <c r="V34" s="4" t="n"/>
      <c r="W34" s="4" t="n"/>
      <c r="X34" s="4" t="n"/>
      <c r="Y34" s="4" t="n"/>
      <c r="Z34" s="9" t="n">
        <v>0</v>
      </c>
      <c r="AA34" s="10">
        <f>AVERAGE(K34,P34,U34,Z34)</f>
        <v/>
      </c>
      <c r="AB34" s="11">
        <f>COUNTIF(G34:Z34,"P")</f>
        <v/>
      </c>
      <c r="AC34" s="12">
        <f>COUNTIF(G34:Z34,"L")</f>
        <v/>
      </c>
      <c r="AD34" s="13">
        <f>COUNTIF(G34:Z34,"A")</f>
        <v/>
      </c>
      <c r="AE34" s="14">
        <f>AB34+AC34</f>
        <v/>
      </c>
      <c r="AF34" s="8">
        <f>AE34/16*10</f>
        <v/>
      </c>
      <c r="AG34" s="8">
        <f>AA34</f>
        <v/>
      </c>
      <c r="AH34" s="8" t="n">
        <v>18</v>
      </c>
      <c r="AI34" s="5" t="n"/>
    </row>
    <row r="35">
      <c r="A35" s="50" t="n"/>
      <c r="B35" s="4" t="n">
        <v>27</v>
      </c>
      <c r="C35" s="4" t="n">
        <v>27</v>
      </c>
      <c r="D35" s="7" t="inlineStr">
        <is>
          <t>وديمه نادر خميس علي الشامسي</t>
        </is>
      </c>
      <c r="E35" s="15" t="inlineStr">
        <is>
          <t>NA</t>
        </is>
      </c>
      <c r="F35" s="15" t="inlineStr">
        <is>
          <t>NA</t>
        </is>
      </c>
      <c r="G35" s="4" t="n"/>
      <c r="H35" s="4" t="n"/>
      <c r="I35" s="4" t="n"/>
      <c r="J35" s="4" t="n"/>
      <c r="K35" s="9" t="n">
        <v>0</v>
      </c>
      <c r="L35" s="4" t="n"/>
      <c r="M35" s="4" t="n"/>
      <c r="N35" s="4" t="n"/>
      <c r="O35" s="4" t="n"/>
      <c r="P35" s="9" t="n">
        <v>0</v>
      </c>
      <c r="Q35" s="4" t="n"/>
      <c r="R35" s="4" t="n"/>
      <c r="S35" s="4" t="n"/>
      <c r="T35" s="4" t="n"/>
      <c r="U35" s="9" t="n">
        <v>0</v>
      </c>
      <c r="V35" s="4" t="n"/>
      <c r="W35" s="4" t="n"/>
      <c r="X35" s="4" t="n"/>
      <c r="Y35" s="4" t="n"/>
      <c r="Z35" s="9" t="n">
        <v>0</v>
      </c>
      <c r="AA35" s="10">
        <f>AVERAGE(K35,P35,U35,Z35)</f>
        <v/>
      </c>
      <c r="AB35" s="11">
        <f>COUNTIF(G35:Z35,"P")</f>
        <v/>
      </c>
      <c r="AC35" s="12">
        <f>COUNTIF(G35:Z35,"L")</f>
        <v/>
      </c>
      <c r="AD35" s="13">
        <f>COUNTIF(G35:Z35,"A")</f>
        <v/>
      </c>
      <c r="AE35" s="14">
        <f>AB35+AC35</f>
        <v/>
      </c>
      <c r="AF35" s="8">
        <f>AE35/16*10</f>
        <v/>
      </c>
      <c r="AG35" s="8">
        <f>AA35</f>
        <v/>
      </c>
      <c r="AH35" s="8" t="n">
        <v>19</v>
      </c>
      <c r="AI35" s="5" t="n"/>
    </row>
    <row r="36">
      <c r="A36" s="50" t="n"/>
      <c r="B36" s="4" t="n">
        <v>28</v>
      </c>
      <c r="C36" s="4" t="n"/>
      <c r="D36" s="7" t="n"/>
      <c r="E36" s="15" t="inlineStr">
        <is>
          <t>NA</t>
        </is>
      </c>
      <c r="F36" s="15" t="inlineStr">
        <is>
          <t>NA</t>
        </is>
      </c>
      <c r="G36" s="4" t="n"/>
      <c r="H36" s="4" t="n"/>
      <c r="I36" s="4" t="n"/>
      <c r="J36" s="4" t="n"/>
      <c r="K36" s="9" t="n">
        <v>5</v>
      </c>
      <c r="L36" s="4" t="inlineStr">
        <is>
          <t>p</t>
        </is>
      </c>
      <c r="M36" s="4" t="inlineStr">
        <is>
          <t>p</t>
        </is>
      </c>
      <c r="N36" s="4" t="inlineStr">
        <is>
          <t>p</t>
        </is>
      </c>
      <c r="O36" s="4" t="inlineStr">
        <is>
          <t>p</t>
        </is>
      </c>
      <c r="P36" s="9" t="n">
        <v>5</v>
      </c>
      <c r="Q36" s="4" t="inlineStr">
        <is>
          <t>p</t>
        </is>
      </c>
      <c r="R36" s="4" t="inlineStr">
        <is>
          <t>p</t>
        </is>
      </c>
      <c r="S36" s="4" t="inlineStr">
        <is>
          <t>p</t>
        </is>
      </c>
      <c r="T36" s="4" t="inlineStr">
        <is>
          <t>p</t>
        </is>
      </c>
      <c r="U36" s="9" t="n">
        <v>5</v>
      </c>
      <c r="V36" s="4" t="inlineStr">
        <is>
          <t>a</t>
        </is>
      </c>
      <c r="W36" s="4" t="inlineStr">
        <is>
          <t>a</t>
        </is>
      </c>
      <c r="X36" s="4" t="inlineStr">
        <is>
          <t>a</t>
        </is>
      </c>
      <c r="Y36" s="4" t="inlineStr">
        <is>
          <t>a</t>
        </is>
      </c>
      <c r="Z36" s="9" t="n">
        <v>5</v>
      </c>
      <c r="AA36" s="10">
        <f>AVERAGE(K36,P36,U36,Z36)</f>
        <v/>
      </c>
      <c r="AB36" s="11">
        <f>COUNTIF(G36:Z36,"P")</f>
        <v/>
      </c>
      <c r="AC36" s="12">
        <f>COUNTIF(G36:Z36,"L")</f>
        <v/>
      </c>
      <c r="AD36" s="13">
        <f>COUNTIF(G36:Z36,"A")</f>
        <v/>
      </c>
      <c r="AE36" s="14">
        <f>AB36+AC36</f>
        <v/>
      </c>
      <c r="AF36" s="8">
        <f>AE36/16*10</f>
        <v/>
      </c>
      <c r="AG36" s="8">
        <f>AA36</f>
        <v/>
      </c>
      <c r="AH36" s="8" t="n"/>
      <c r="AI36" s="5" t="n"/>
    </row>
    <row r="37">
      <c r="A37" s="50" t="n"/>
      <c r="B37" s="4" t="n">
        <v>29</v>
      </c>
      <c r="C37" s="4" t="n"/>
      <c r="D37" s="7" t="n"/>
      <c r="E37" s="15" t="inlineStr">
        <is>
          <t>NA</t>
        </is>
      </c>
      <c r="F37" s="15" t="inlineStr">
        <is>
          <t>NA</t>
        </is>
      </c>
      <c r="G37" s="4" t="n"/>
      <c r="H37" s="4" t="n"/>
      <c r="I37" s="4" t="n"/>
      <c r="J37" s="4" t="n"/>
      <c r="K37" s="9" t="n">
        <v>0</v>
      </c>
      <c r="L37" s="4" t="n"/>
      <c r="M37" s="4" t="n"/>
      <c r="N37" s="4" t="n"/>
      <c r="O37" s="4" t="n"/>
      <c r="P37" s="9" t="n">
        <v>0</v>
      </c>
      <c r="Q37" s="4" t="n"/>
      <c r="R37" s="4" t="n"/>
      <c r="S37" s="4" t="n"/>
      <c r="T37" s="4" t="n"/>
      <c r="U37" s="9" t="n">
        <v>0</v>
      </c>
      <c r="V37" s="4" t="n"/>
      <c r="W37" s="4" t="n"/>
      <c r="X37" s="4" t="n"/>
      <c r="Y37" s="4" t="n"/>
      <c r="Z37" s="9" t="n">
        <v>0</v>
      </c>
      <c r="AA37" s="10">
        <f>AVERAGE(K37,P37,U37,Z37)</f>
        <v/>
      </c>
      <c r="AB37" s="11">
        <f>COUNTIF(G37:Z37,"P")</f>
        <v/>
      </c>
      <c r="AC37" s="12">
        <f>COUNTIF(G37:Z37,"L")</f>
        <v/>
      </c>
      <c r="AD37" s="13">
        <f>COUNTIF(G37:Z37,"A")</f>
        <v/>
      </c>
      <c r="AE37" s="14">
        <f>AB37+AC37</f>
        <v/>
      </c>
      <c r="AF37" s="8">
        <f>AE37/16*10</f>
        <v/>
      </c>
      <c r="AG37" s="8">
        <f>AA37</f>
        <v/>
      </c>
      <c r="AH37" s="8" t="n"/>
      <c r="AI37" s="5" t="n"/>
    </row>
    <row r="38">
      <c r="A38" s="50" t="n"/>
      <c r="B38" s="4" t="n">
        <v>30</v>
      </c>
      <c r="C38" s="4" t="n"/>
      <c r="D38" s="7" t="n"/>
      <c r="E38" s="15" t="inlineStr">
        <is>
          <t>NA</t>
        </is>
      </c>
      <c r="F38" s="15" t="inlineStr">
        <is>
          <t>NA</t>
        </is>
      </c>
      <c r="G38" s="4" t="n"/>
      <c r="H38" s="4" t="n"/>
      <c r="I38" s="4" t="n"/>
      <c r="J38" s="4" t="n"/>
      <c r="K38" s="9" t="n">
        <v>0</v>
      </c>
      <c r="L38" s="4" t="n"/>
      <c r="M38" s="4" t="n"/>
      <c r="N38" s="4" t="n"/>
      <c r="O38" s="4" t="n"/>
      <c r="P38" s="9" t="n">
        <v>0</v>
      </c>
      <c r="Q38" s="4" t="n"/>
      <c r="R38" s="4" t="n"/>
      <c r="S38" s="4" t="n"/>
      <c r="T38" s="4" t="n"/>
      <c r="U38" s="9" t="n">
        <v>0</v>
      </c>
      <c r="V38" s="4" t="n"/>
      <c r="W38" s="4" t="n"/>
      <c r="X38" s="4" t="n"/>
      <c r="Y38" s="4" t="n"/>
      <c r="Z38" s="9" t="n">
        <v>0</v>
      </c>
      <c r="AA38" s="10">
        <f>AVERAGE(K38,P38,U38,Z38)</f>
        <v/>
      </c>
      <c r="AB38" s="11">
        <f>COUNTIF(G38:Z38,"P")</f>
        <v/>
      </c>
      <c r="AC38" s="12">
        <f>COUNTIF(G38:Z38,"L")</f>
        <v/>
      </c>
      <c r="AD38" s="13">
        <f>COUNTIF(G38:Z38,"A")</f>
        <v/>
      </c>
      <c r="AE38" s="14">
        <f>AB38+AC38</f>
        <v/>
      </c>
      <c r="AF38" s="8">
        <f>AE38/16*10</f>
        <v/>
      </c>
      <c r="AG38" s="8">
        <f>AA38</f>
        <v/>
      </c>
      <c r="AH38" s="8" t="n"/>
      <c r="AI38" s="5" t="n"/>
    </row>
    <row r="39">
      <c r="A39" s="50" t="n"/>
      <c r="B39" s="4" t="n">
        <v>31</v>
      </c>
      <c r="C39" s="4" t="n"/>
      <c r="D39" s="7" t="n"/>
      <c r="E39" s="15" t="inlineStr">
        <is>
          <t>NA</t>
        </is>
      </c>
      <c r="F39" s="15" t="inlineStr">
        <is>
          <t>NA</t>
        </is>
      </c>
      <c r="G39" s="4" t="n"/>
      <c r="H39" s="4" t="n"/>
      <c r="I39" s="4" t="n"/>
      <c r="J39" s="4" t="n"/>
      <c r="K39" s="9" t="n">
        <v>0</v>
      </c>
      <c r="L39" s="4" t="n"/>
      <c r="M39" s="4" t="n"/>
      <c r="N39" s="4" t="n"/>
      <c r="O39" s="4" t="n"/>
      <c r="P39" s="9" t="n">
        <v>0</v>
      </c>
      <c r="Q39" s="4" t="n"/>
      <c r="R39" s="4" t="n"/>
      <c r="S39" s="4" t="n"/>
      <c r="T39" s="4" t="n"/>
      <c r="U39" s="9" t="n">
        <v>0</v>
      </c>
      <c r="V39" s="4" t="n"/>
      <c r="W39" s="4" t="n"/>
      <c r="X39" s="4" t="n"/>
      <c r="Y39" s="4" t="n"/>
      <c r="Z39" s="9" t="n">
        <v>0</v>
      </c>
      <c r="AA39" s="10">
        <f>AVERAGE(K39,P39,U39,Z39)</f>
        <v/>
      </c>
      <c r="AB39" s="11">
        <f>COUNTIF(G39:Z39,"P")</f>
        <v/>
      </c>
      <c r="AC39" s="12">
        <f>COUNTIF(G39:Z39,"L")</f>
        <v/>
      </c>
      <c r="AD39" s="13">
        <f>COUNTIF(G39:Z39,"A")</f>
        <v/>
      </c>
      <c r="AE39" s="14">
        <f>AB39+AC39</f>
        <v/>
      </c>
      <c r="AF39" s="8">
        <f>AE39/16*10</f>
        <v/>
      </c>
      <c r="AG39" s="8">
        <f>AA39</f>
        <v/>
      </c>
      <c r="AH39" s="8" t="n"/>
      <c r="AI39" s="5" t="n"/>
    </row>
    <row r="40">
      <c r="A40" s="50" t="n"/>
      <c r="B40" s="4" t="n">
        <v>32</v>
      </c>
      <c r="C40" s="4" t="n"/>
      <c r="D40" s="7" t="n"/>
      <c r="E40" s="15" t="inlineStr">
        <is>
          <t>NA</t>
        </is>
      </c>
      <c r="F40" s="15" t="inlineStr">
        <is>
          <t>NA</t>
        </is>
      </c>
      <c r="G40" s="4" t="n"/>
      <c r="H40" s="4" t="n"/>
      <c r="I40" s="4" t="n"/>
      <c r="J40" s="4" t="n"/>
      <c r="K40" s="9" t="n">
        <v>0</v>
      </c>
      <c r="L40" s="4" t="n"/>
      <c r="M40" s="4" t="n"/>
      <c r="N40" s="4" t="n"/>
      <c r="O40" s="4" t="n"/>
      <c r="P40" s="9" t="n">
        <v>0</v>
      </c>
      <c r="Q40" s="4" t="n"/>
      <c r="R40" s="4" t="n"/>
      <c r="S40" s="4" t="n"/>
      <c r="T40" s="4" t="n"/>
      <c r="U40" s="9" t="n">
        <v>0</v>
      </c>
      <c r="V40" s="4" t="n"/>
      <c r="W40" s="4" t="n"/>
      <c r="X40" s="4" t="n"/>
      <c r="Y40" s="4" t="n"/>
      <c r="Z40" s="9" t="n">
        <v>0</v>
      </c>
      <c r="AA40" s="10">
        <f>AVERAGE(K40,P40,U40,Z40)</f>
        <v/>
      </c>
      <c r="AB40" s="11">
        <f>COUNTIF(G40:Z40,"P")</f>
        <v/>
      </c>
      <c r="AC40" s="12">
        <f>COUNTIF(G40:Z40,"L")</f>
        <v/>
      </c>
      <c r="AD40" s="13">
        <f>COUNTIF(G40:Z40,"A")</f>
        <v/>
      </c>
      <c r="AE40" s="14">
        <f>AB40+AC40</f>
        <v/>
      </c>
      <c r="AF40" s="8">
        <f>AE40/16*10</f>
        <v/>
      </c>
      <c r="AG40" s="8">
        <f>AA40</f>
        <v/>
      </c>
      <c r="AH40" s="8" t="n"/>
      <c r="AI40" s="5" t="n"/>
    </row>
    <row r="41">
      <c r="A41" s="50" t="n"/>
      <c r="B41" s="4" t="n">
        <v>33</v>
      </c>
      <c r="C41" s="4" t="n"/>
      <c r="D41" s="7" t="n"/>
      <c r="E41" s="15" t="inlineStr">
        <is>
          <t>NA</t>
        </is>
      </c>
      <c r="F41" s="15" t="inlineStr">
        <is>
          <t>NA</t>
        </is>
      </c>
      <c r="G41" s="4" t="n"/>
      <c r="H41" s="4" t="n"/>
      <c r="I41" s="4" t="n"/>
      <c r="J41" s="4" t="n"/>
      <c r="K41" s="9" t="n">
        <v>0</v>
      </c>
      <c r="L41" s="4" t="n"/>
      <c r="M41" s="4" t="n"/>
      <c r="N41" s="4" t="n"/>
      <c r="O41" s="4" t="n"/>
      <c r="P41" s="9" t="n">
        <v>0</v>
      </c>
      <c r="Q41" s="4" t="n"/>
      <c r="R41" s="4" t="n"/>
      <c r="S41" s="4" t="n"/>
      <c r="T41" s="4" t="n"/>
      <c r="U41" s="9" t="n">
        <v>0</v>
      </c>
      <c r="V41" s="4" t="n"/>
      <c r="W41" s="4" t="n"/>
      <c r="X41" s="4" t="n"/>
      <c r="Y41" s="4" t="n"/>
      <c r="Z41" s="9" t="n">
        <v>0</v>
      </c>
      <c r="AA41" s="10">
        <f>AVERAGE(K41,P41,U41,Z41)</f>
        <v/>
      </c>
      <c r="AB41" s="11">
        <f>COUNTIF(G41:Z41,"P")</f>
        <v/>
      </c>
      <c r="AC41" s="12">
        <f>COUNTIF(G41:Z41,"L")</f>
        <v/>
      </c>
      <c r="AD41" s="13">
        <f>COUNTIF(G41:Z41,"A")</f>
        <v/>
      </c>
      <c r="AE41" s="14">
        <f>AB41+AC41</f>
        <v/>
      </c>
      <c r="AF41" s="8">
        <f>AE41/16*10</f>
        <v/>
      </c>
      <c r="AG41" s="8">
        <f>AA41</f>
        <v/>
      </c>
      <c r="AH41" s="8" t="n"/>
      <c r="AI41" s="5" t="n"/>
    </row>
    <row r="42">
      <c r="A42" s="50" t="n"/>
      <c r="B42" s="4" t="n">
        <v>34</v>
      </c>
      <c r="C42" s="4" t="n"/>
      <c r="D42" s="7" t="n"/>
      <c r="E42" s="15" t="inlineStr">
        <is>
          <t>NA</t>
        </is>
      </c>
      <c r="F42" s="15" t="inlineStr">
        <is>
          <t>NA</t>
        </is>
      </c>
      <c r="G42" s="4" t="n"/>
      <c r="H42" s="4" t="n"/>
      <c r="I42" s="4" t="n"/>
      <c r="J42" s="4" t="n"/>
      <c r="K42" s="9" t="n">
        <v>0</v>
      </c>
      <c r="L42" s="4" t="n"/>
      <c r="M42" s="4" t="n"/>
      <c r="N42" s="4" t="n"/>
      <c r="O42" s="4" t="n"/>
      <c r="P42" s="9" t="n">
        <v>0</v>
      </c>
      <c r="Q42" s="4" t="n"/>
      <c r="R42" s="4" t="n"/>
      <c r="S42" s="4" t="n"/>
      <c r="T42" s="4" t="n"/>
      <c r="U42" s="9" t="n">
        <v>0</v>
      </c>
      <c r="V42" s="4" t="n"/>
      <c r="W42" s="4" t="n"/>
      <c r="X42" s="4" t="n"/>
      <c r="Y42" s="4" t="n"/>
      <c r="Z42" s="9" t="n">
        <v>0</v>
      </c>
      <c r="AA42" s="10">
        <f>AVERAGE(K42,P42,U42,Z42)</f>
        <v/>
      </c>
      <c r="AB42" s="11">
        <f>COUNTIF(G42:Z42,"P")</f>
        <v/>
      </c>
      <c r="AC42" s="12">
        <f>COUNTIF(G42:Z42,"L")</f>
        <v/>
      </c>
      <c r="AD42" s="13">
        <f>COUNTIF(G42:Z42,"A")</f>
        <v/>
      </c>
      <c r="AE42" s="14">
        <f>AB42+AC42</f>
        <v/>
      </c>
      <c r="AF42" s="8">
        <f>AE42/16*10</f>
        <v/>
      </c>
      <c r="AG42" s="8">
        <f>AA42</f>
        <v/>
      </c>
      <c r="AH42" s="8" t="n"/>
      <c r="AI42" s="5" t="n"/>
    </row>
    <row r="43">
      <c r="A43" s="50" t="n"/>
      <c r="B43" s="4" t="n">
        <v>35</v>
      </c>
      <c r="C43" s="4" t="n"/>
      <c r="D43" s="7" t="n"/>
      <c r="E43" s="15" t="inlineStr">
        <is>
          <t>NA</t>
        </is>
      </c>
      <c r="F43" s="15" t="inlineStr">
        <is>
          <t>NA</t>
        </is>
      </c>
      <c r="G43" s="4" t="n"/>
      <c r="H43" s="4" t="n"/>
      <c r="I43" s="4" t="n"/>
      <c r="J43" s="4" t="n"/>
      <c r="K43" s="9" t="n">
        <v>0</v>
      </c>
      <c r="L43" s="4" t="n"/>
      <c r="M43" s="4" t="n"/>
      <c r="N43" s="4" t="n"/>
      <c r="O43" s="4" t="n"/>
      <c r="P43" s="9" t="n">
        <v>0</v>
      </c>
      <c r="Q43" s="4" t="n"/>
      <c r="R43" s="4" t="n"/>
      <c r="S43" s="4" t="n"/>
      <c r="T43" s="4" t="n"/>
      <c r="U43" s="9" t="n">
        <v>0</v>
      </c>
      <c r="V43" s="4" t="n"/>
      <c r="W43" s="4" t="n"/>
      <c r="X43" s="4" t="n"/>
      <c r="Y43" s="4" t="n"/>
      <c r="Z43" s="9" t="n">
        <v>0</v>
      </c>
      <c r="AA43" s="10">
        <f>AVERAGE(K43,P43,U43,Z43)</f>
        <v/>
      </c>
      <c r="AB43" s="11">
        <f>COUNTIF(G43:Z43,"P")</f>
        <v/>
      </c>
      <c r="AC43" s="12">
        <f>COUNTIF(G43:Z43,"L")</f>
        <v/>
      </c>
      <c r="AD43" s="13">
        <f>COUNTIF(G43:Z43,"A")</f>
        <v/>
      </c>
      <c r="AE43" s="14">
        <f>AB43+AC43</f>
        <v/>
      </c>
      <c r="AF43" s="8">
        <f>AE43/16*10</f>
        <v/>
      </c>
      <c r="AG43" s="8">
        <f>AA43</f>
        <v/>
      </c>
      <c r="AH43" s="8" t="n"/>
      <c r="AI43" s="5" t="n"/>
    </row>
    <row r="44">
      <c r="A44" s="50" t="n"/>
      <c r="B44" s="4" t="n">
        <v>36</v>
      </c>
      <c r="C44" s="4" t="n"/>
      <c r="D44" s="7" t="n"/>
      <c r="E44" s="15" t="inlineStr">
        <is>
          <t>NA</t>
        </is>
      </c>
      <c r="F44" s="15" t="inlineStr">
        <is>
          <t>NA</t>
        </is>
      </c>
      <c r="G44" s="4" t="n"/>
      <c r="H44" s="4" t="n"/>
      <c r="I44" s="4" t="n"/>
      <c r="J44" s="4" t="n"/>
      <c r="K44" s="9" t="n">
        <v>0</v>
      </c>
      <c r="L44" s="4" t="n"/>
      <c r="M44" s="4" t="n"/>
      <c r="N44" s="4" t="n"/>
      <c r="O44" s="4" t="n"/>
      <c r="P44" s="9" t="n">
        <v>0</v>
      </c>
      <c r="Q44" s="4" t="n"/>
      <c r="R44" s="4" t="n"/>
      <c r="S44" s="4" t="n"/>
      <c r="T44" s="4" t="n"/>
      <c r="U44" s="9" t="n">
        <v>0</v>
      </c>
      <c r="V44" s="4" t="n"/>
      <c r="W44" s="4" t="n"/>
      <c r="X44" s="4" t="n"/>
      <c r="Y44" s="4" t="n"/>
      <c r="Z44" s="9" t="n">
        <v>0</v>
      </c>
      <c r="AA44" s="10">
        <f>AVERAGE(K44,P44,U44,Z44)</f>
        <v/>
      </c>
      <c r="AB44" s="11">
        <f>COUNTIF(G44:Z44,"P")</f>
        <v/>
      </c>
      <c r="AC44" s="12">
        <f>COUNTIF(G44:Z44,"L")</f>
        <v/>
      </c>
      <c r="AD44" s="13">
        <f>COUNTIF(G44:Z44,"A")</f>
        <v/>
      </c>
      <c r="AE44" s="14">
        <f>AB44+AC44</f>
        <v/>
      </c>
      <c r="AF44" s="8">
        <f>AE44/16*10</f>
        <v/>
      </c>
      <c r="AG44" s="8">
        <f>AA44</f>
        <v/>
      </c>
      <c r="AH44" s="8" t="n"/>
      <c r="AI44" s="5" t="n"/>
    </row>
    <row r="45">
      <c r="A45" s="50" t="n"/>
      <c r="B45" s="4" t="n">
        <v>37</v>
      </c>
      <c r="C45" s="4" t="n"/>
      <c r="D45" s="7" t="n"/>
      <c r="E45" s="15" t="inlineStr">
        <is>
          <t>NA</t>
        </is>
      </c>
      <c r="F45" s="15" t="inlineStr">
        <is>
          <t>NA</t>
        </is>
      </c>
      <c r="G45" s="4" t="n"/>
      <c r="H45" s="4" t="n"/>
      <c r="I45" s="4" t="n"/>
      <c r="J45" s="4" t="n"/>
      <c r="K45" s="9" t="n">
        <v>0</v>
      </c>
      <c r="L45" s="4" t="n"/>
      <c r="M45" s="4" t="n"/>
      <c r="N45" s="4" t="n"/>
      <c r="O45" s="4" t="n"/>
      <c r="P45" s="9" t="n">
        <v>0</v>
      </c>
      <c r="Q45" s="4" t="n"/>
      <c r="R45" s="4" t="n"/>
      <c r="S45" s="4" t="n"/>
      <c r="T45" s="4" t="n"/>
      <c r="U45" s="9" t="n">
        <v>0</v>
      </c>
      <c r="V45" s="4" t="n"/>
      <c r="W45" s="4" t="n"/>
      <c r="X45" s="4" t="n"/>
      <c r="Y45" s="4" t="n"/>
      <c r="Z45" s="9" t="n">
        <v>0</v>
      </c>
      <c r="AA45" s="10">
        <f>AVERAGE(K45,P45,U45,Z45)</f>
        <v/>
      </c>
      <c r="AB45" s="11">
        <f>COUNTIF(G45:Z45,"P")</f>
        <v/>
      </c>
      <c r="AC45" s="12">
        <f>COUNTIF(G45:Z45,"L")</f>
        <v/>
      </c>
      <c r="AD45" s="13">
        <f>COUNTIF(G45:Z45,"A")</f>
        <v/>
      </c>
      <c r="AE45" s="14">
        <f>AB45+AC45</f>
        <v/>
      </c>
      <c r="AF45" s="8">
        <f>AE45/16*10</f>
        <v/>
      </c>
      <c r="AG45" s="8">
        <f>AA45</f>
        <v/>
      </c>
      <c r="AH45" s="8" t="n"/>
      <c r="AI45" s="5" t="n"/>
    </row>
    <row r="46">
      <c r="A46" s="50" t="n"/>
      <c r="B46" s="4" t="n">
        <v>38</v>
      </c>
      <c r="C46" s="4" t="n"/>
      <c r="D46" s="7" t="n"/>
      <c r="E46" s="15" t="inlineStr">
        <is>
          <t>NA</t>
        </is>
      </c>
      <c r="F46" s="15" t="inlineStr">
        <is>
          <t>NA</t>
        </is>
      </c>
      <c r="G46" s="4" t="n"/>
      <c r="H46" s="4" t="n"/>
      <c r="I46" s="4" t="n"/>
      <c r="J46" s="4" t="n"/>
      <c r="K46" s="9" t="n">
        <v>0</v>
      </c>
      <c r="L46" s="4" t="n"/>
      <c r="M46" s="4" t="n"/>
      <c r="N46" s="4" t="n"/>
      <c r="O46" s="4" t="n"/>
      <c r="P46" s="9" t="n">
        <v>0</v>
      </c>
      <c r="Q46" s="4" t="n"/>
      <c r="R46" s="4" t="n"/>
      <c r="S46" s="4" t="n"/>
      <c r="T46" s="4" t="n"/>
      <c r="U46" s="9" t="n">
        <v>0</v>
      </c>
      <c r="V46" s="4" t="n"/>
      <c r="W46" s="4" t="n"/>
      <c r="X46" s="4" t="n"/>
      <c r="Y46" s="4" t="n"/>
      <c r="Z46" s="9" t="n">
        <v>0</v>
      </c>
      <c r="AA46" s="10">
        <f>AVERAGE(K46,P46,U46,Z46)</f>
        <v/>
      </c>
      <c r="AB46" s="11">
        <f>COUNTIF(G46:Z46,"P")</f>
        <v/>
      </c>
      <c r="AC46" s="12">
        <f>COUNTIF(G46:Z46,"L")</f>
        <v/>
      </c>
      <c r="AD46" s="13">
        <f>COUNTIF(G46:Z46,"A")</f>
        <v/>
      </c>
      <c r="AE46" s="14">
        <f>AB46+AC46</f>
        <v/>
      </c>
      <c r="AF46" s="8">
        <f>AE46/16*10</f>
        <v/>
      </c>
      <c r="AG46" s="8">
        <f>AA46</f>
        <v/>
      </c>
      <c r="AH46" s="8" t="n"/>
      <c r="AI46" s="5" t="n"/>
    </row>
    <row r="47">
      <c r="A47" s="50" t="n"/>
      <c r="B47" s="4" t="n">
        <v>39</v>
      </c>
      <c r="C47" s="4" t="n"/>
      <c r="D47" s="7" t="n"/>
      <c r="E47" s="15" t="inlineStr">
        <is>
          <t>NA</t>
        </is>
      </c>
      <c r="F47" s="15" t="inlineStr">
        <is>
          <t>NA</t>
        </is>
      </c>
      <c r="G47" s="4" t="n"/>
      <c r="H47" s="4" t="n"/>
      <c r="I47" s="4" t="n"/>
      <c r="J47" s="4" t="n"/>
      <c r="K47" s="9" t="n">
        <v>0</v>
      </c>
      <c r="L47" s="4" t="n"/>
      <c r="M47" s="4" t="n"/>
      <c r="N47" s="4" t="n"/>
      <c r="O47" s="4" t="n"/>
      <c r="P47" s="9" t="n">
        <v>0</v>
      </c>
      <c r="Q47" s="4" t="n"/>
      <c r="R47" s="4" t="n"/>
      <c r="S47" s="4" t="n"/>
      <c r="T47" s="4" t="n"/>
      <c r="U47" s="9" t="n">
        <v>0</v>
      </c>
      <c r="V47" s="4" t="n"/>
      <c r="W47" s="4" t="n"/>
      <c r="X47" s="4" t="n"/>
      <c r="Y47" s="4" t="n"/>
      <c r="Z47" s="9" t="n">
        <v>0</v>
      </c>
      <c r="AA47" s="10">
        <f>AVERAGE(K47,P47,U47,Z47)</f>
        <v/>
      </c>
      <c r="AB47" s="11">
        <f>COUNTIF(G47:Z47,"P")</f>
        <v/>
      </c>
      <c r="AC47" s="12">
        <f>COUNTIF(G47:Z47,"L")</f>
        <v/>
      </c>
      <c r="AD47" s="13">
        <f>COUNTIF(G47:Z47,"A")</f>
        <v/>
      </c>
      <c r="AE47" s="14">
        <f>AB47+AC47</f>
        <v/>
      </c>
      <c r="AF47" s="8">
        <f>AE47/16*10</f>
        <v/>
      </c>
      <c r="AG47" s="8">
        <f>AA47</f>
        <v/>
      </c>
      <c r="AH47" s="8" t="n"/>
      <c r="AI47" s="5" t="n"/>
    </row>
    <row r="48">
      <c r="A48" s="50" t="n"/>
      <c r="B48" s="4" t="n">
        <v>40</v>
      </c>
      <c r="C48" s="4" t="n"/>
      <c r="D48" s="7" t="n"/>
      <c r="E48" s="15" t="inlineStr">
        <is>
          <t>NA</t>
        </is>
      </c>
      <c r="F48" s="15" t="inlineStr">
        <is>
          <t>NA</t>
        </is>
      </c>
      <c r="G48" s="4" t="n"/>
      <c r="H48" s="4" t="n"/>
      <c r="I48" s="4" t="n"/>
      <c r="J48" s="4" t="n"/>
      <c r="K48" s="9" t="n">
        <v>0</v>
      </c>
      <c r="L48" s="4" t="n"/>
      <c r="M48" s="4" t="n"/>
      <c r="N48" s="4" t="n"/>
      <c r="O48" s="4" t="n"/>
      <c r="P48" s="9" t="n">
        <v>0</v>
      </c>
      <c r="Q48" s="4" t="n"/>
      <c r="R48" s="4" t="n"/>
      <c r="S48" s="4" t="n"/>
      <c r="T48" s="4" t="n"/>
      <c r="U48" s="9" t="n">
        <v>0</v>
      </c>
      <c r="V48" s="4" t="n"/>
      <c r="W48" s="4" t="n"/>
      <c r="X48" s="4" t="n"/>
      <c r="Y48" s="4" t="n"/>
      <c r="Z48" s="9" t="n">
        <v>0</v>
      </c>
      <c r="AA48" s="10">
        <f>AVERAGE(K48,P48,U48,Z48)</f>
        <v/>
      </c>
      <c r="AB48" s="11">
        <f>COUNTIF(G48:Z48,"P")</f>
        <v/>
      </c>
      <c r="AC48" s="12">
        <f>COUNTIF(G48:Z48,"L")</f>
        <v/>
      </c>
      <c r="AD48" s="13">
        <f>COUNTIF(G48:Z48,"A")</f>
        <v/>
      </c>
      <c r="AE48" s="14">
        <f>AB48+AC48</f>
        <v/>
      </c>
      <c r="AF48" s="8">
        <f>AE48/16*10</f>
        <v/>
      </c>
      <c r="AG48" s="8">
        <f>AA48</f>
        <v/>
      </c>
      <c r="AH48" s="8" t="n"/>
      <c r="AI48" s="5" t="n"/>
    </row>
    <row r="49">
      <c r="A49" s="50" t="n"/>
      <c r="B49" s="4" t="n">
        <v>41</v>
      </c>
      <c r="C49" s="4" t="n"/>
      <c r="D49" s="7" t="n"/>
      <c r="E49" s="15" t="inlineStr">
        <is>
          <t>NA</t>
        </is>
      </c>
      <c r="F49" s="15" t="inlineStr">
        <is>
          <t>NA</t>
        </is>
      </c>
      <c r="G49" s="4" t="n"/>
      <c r="H49" s="4" t="n"/>
      <c r="I49" s="4" t="n"/>
      <c r="J49" s="4" t="n"/>
      <c r="K49" s="9" t="n">
        <v>0</v>
      </c>
      <c r="L49" s="4" t="n"/>
      <c r="M49" s="4" t="n"/>
      <c r="N49" s="4" t="n"/>
      <c r="O49" s="4" t="n"/>
      <c r="P49" s="9" t="n">
        <v>0</v>
      </c>
      <c r="Q49" s="4" t="n"/>
      <c r="R49" s="4" t="n"/>
      <c r="S49" s="4" t="n"/>
      <c r="T49" s="4" t="n"/>
      <c r="U49" s="9" t="n">
        <v>0</v>
      </c>
      <c r="V49" s="4" t="n"/>
      <c r="W49" s="4" t="n"/>
      <c r="X49" s="4" t="n"/>
      <c r="Y49" s="4" t="n"/>
      <c r="Z49" s="9" t="n">
        <v>0</v>
      </c>
      <c r="AA49" s="10">
        <f>AVERAGE(K49,P49,U49,Z49)</f>
        <v/>
      </c>
      <c r="AB49" s="11">
        <f>COUNTIF(G49:Z49,"P")</f>
        <v/>
      </c>
      <c r="AC49" s="12">
        <f>COUNTIF(G49:Z49,"L")</f>
        <v/>
      </c>
      <c r="AD49" s="13">
        <f>COUNTIF(G49:Z49,"A")</f>
        <v/>
      </c>
      <c r="AE49" s="14">
        <f>AB49+AC49</f>
        <v/>
      </c>
      <c r="AF49" s="8">
        <f>AE49/16*10</f>
        <v/>
      </c>
      <c r="AG49" s="8">
        <f>AA49</f>
        <v/>
      </c>
      <c r="AH49" s="8" t="n"/>
      <c r="AI49" s="5" t="n"/>
    </row>
    <row r="50">
      <c r="A50" s="50" t="n"/>
      <c r="B50" s="4" t="n">
        <v>42</v>
      </c>
      <c r="C50" s="4" t="n"/>
      <c r="D50" s="7" t="n"/>
      <c r="E50" s="15" t="inlineStr">
        <is>
          <t>NA</t>
        </is>
      </c>
      <c r="F50" s="15" t="inlineStr">
        <is>
          <t>NA</t>
        </is>
      </c>
      <c r="G50" s="4" t="n"/>
      <c r="H50" s="4" t="n"/>
      <c r="I50" s="4" t="n"/>
      <c r="J50" s="4" t="n"/>
      <c r="K50" s="9" t="n">
        <v>0</v>
      </c>
      <c r="L50" s="4" t="n"/>
      <c r="M50" s="4" t="n"/>
      <c r="N50" s="4" t="n"/>
      <c r="O50" s="4" t="n"/>
      <c r="P50" s="9" t="n">
        <v>0</v>
      </c>
      <c r="Q50" s="4" t="n"/>
      <c r="R50" s="4" t="n"/>
      <c r="S50" s="4" t="n"/>
      <c r="T50" s="4" t="n"/>
      <c r="U50" s="9" t="n">
        <v>0</v>
      </c>
      <c r="V50" s="4" t="n"/>
      <c r="W50" s="4" t="n"/>
      <c r="X50" s="4" t="n"/>
      <c r="Y50" s="4" t="n"/>
      <c r="Z50" s="9" t="n">
        <v>0</v>
      </c>
      <c r="AA50" s="10">
        <f>AVERAGE(K50,P50,U50,Z50)</f>
        <v/>
      </c>
      <c r="AB50" s="11">
        <f>COUNTIF(G50:Z50,"P")</f>
        <v/>
      </c>
      <c r="AC50" s="12">
        <f>COUNTIF(G50:Z50,"L")</f>
        <v/>
      </c>
      <c r="AD50" s="13">
        <f>COUNTIF(G50:Z50,"A")</f>
        <v/>
      </c>
      <c r="AE50" s="14">
        <f>AB50+AC50</f>
        <v/>
      </c>
      <c r="AF50" s="8">
        <f>AE50/16*10</f>
        <v/>
      </c>
      <c r="AG50" s="8">
        <f>AA50</f>
        <v/>
      </c>
      <c r="AH50" s="8" t="n"/>
      <c r="AI50" s="5" t="n"/>
    </row>
    <row r="51">
      <c r="A51" s="50" t="n"/>
      <c r="B51" s="4" t="n">
        <v>43</v>
      </c>
      <c r="C51" s="4" t="n"/>
      <c r="D51" s="7" t="n"/>
      <c r="E51" s="15" t="inlineStr">
        <is>
          <t>NA</t>
        </is>
      </c>
      <c r="F51" s="15" t="inlineStr">
        <is>
          <t>NA</t>
        </is>
      </c>
      <c r="G51" s="4" t="n"/>
      <c r="H51" s="4" t="n"/>
      <c r="I51" s="4" t="n"/>
      <c r="J51" s="4" t="n"/>
      <c r="K51" s="9" t="n">
        <v>0</v>
      </c>
      <c r="L51" s="4" t="n"/>
      <c r="M51" s="4" t="n"/>
      <c r="N51" s="4" t="n"/>
      <c r="O51" s="4" t="n"/>
      <c r="P51" s="9" t="n">
        <v>0</v>
      </c>
      <c r="Q51" s="4" t="n"/>
      <c r="R51" s="4" t="n"/>
      <c r="S51" s="4" t="n"/>
      <c r="T51" s="4" t="n"/>
      <c r="U51" s="9" t="n">
        <v>0</v>
      </c>
      <c r="V51" s="4" t="n"/>
      <c r="W51" s="4" t="n"/>
      <c r="X51" s="4" t="n"/>
      <c r="Y51" s="4" t="n"/>
      <c r="Z51" s="9" t="n">
        <v>0</v>
      </c>
      <c r="AA51" s="10">
        <f>AVERAGE(K51,P51,U51,Z51)</f>
        <v/>
      </c>
      <c r="AB51" s="11">
        <f>COUNTIF(G51:Z51,"P")</f>
        <v/>
      </c>
      <c r="AC51" s="12">
        <f>COUNTIF(G51:Z51,"L")</f>
        <v/>
      </c>
      <c r="AD51" s="13">
        <f>COUNTIF(G51:Z51,"A")</f>
        <v/>
      </c>
      <c r="AE51" s="14">
        <f>AB51+AC51</f>
        <v/>
      </c>
      <c r="AF51" s="8">
        <f>AE51/16*10</f>
        <v/>
      </c>
      <c r="AG51" s="8">
        <f>AA51</f>
        <v/>
      </c>
      <c r="AH51" s="8" t="n"/>
      <c r="AI51" s="5" t="n"/>
    </row>
    <row r="52">
      <c r="A52" s="50" t="n"/>
      <c r="B52" s="4" t="n">
        <v>44</v>
      </c>
      <c r="C52" s="4" t="n"/>
      <c r="D52" s="7" t="n"/>
      <c r="E52" s="15" t="inlineStr">
        <is>
          <t>NA</t>
        </is>
      </c>
      <c r="F52" s="15" t="inlineStr">
        <is>
          <t>NA</t>
        </is>
      </c>
      <c r="G52" s="4" t="n"/>
      <c r="H52" s="4" t="n"/>
      <c r="I52" s="4" t="n"/>
      <c r="J52" s="4" t="n"/>
      <c r="K52" s="9" t="n">
        <v>0</v>
      </c>
      <c r="L52" s="4" t="n"/>
      <c r="M52" s="4" t="n"/>
      <c r="N52" s="4" t="n"/>
      <c r="O52" s="4" t="n"/>
      <c r="P52" s="9" t="n">
        <v>0</v>
      </c>
      <c r="Q52" s="4" t="n"/>
      <c r="R52" s="4" t="n"/>
      <c r="S52" s="4" t="n"/>
      <c r="T52" s="4" t="n"/>
      <c r="U52" s="9" t="n">
        <v>0</v>
      </c>
      <c r="V52" s="4" t="n"/>
      <c r="W52" s="4" t="n"/>
      <c r="X52" s="4" t="n"/>
      <c r="Y52" s="4" t="n"/>
      <c r="Z52" s="9" t="n">
        <v>0</v>
      </c>
      <c r="AA52" s="10">
        <f>AVERAGE(K52,P52,U52,Z52)</f>
        <v/>
      </c>
      <c r="AB52" s="11">
        <f>COUNTIF(G52:Z52,"P")</f>
        <v/>
      </c>
      <c r="AC52" s="12">
        <f>COUNTIF(G52:Z52,"L")</f>
        <v/>
      </c>
      <c r="AD52" s="13">
        <f>COUNTIF(G52:Z52,"A")</f>
        <v/>
      </c>
      <c r="AE52" s="14">
        <f>AB52+AC52</f>
        <v/>
      </c>
      <c r="AF52" s="8">
        <f>AE52/16*10</f>
        <v/>
      </c>
      <c r="AG52" s="8">
        <f>AA52</f>
        <v/>
      </c>
      <c r="AH52" s="8" t="n"/>
      <c r="AI52" s="5" t="n"/>
    </row>
    <row r="53">
      <c r="A53" s="50" t="n"/>
      <c r="B53" s="4" t="n">
        <v>45</v>
      </c>
      <c r="C53" s="4" t="n"/>
      <c r="D53" s="7" t="n"/>
      <c r="E53" s="15" t="inlineStr">
        <is>
          <t>NA</t>
        </is>
      </c>
      <c r="F53" s="15" t="inlineStr">
        <is>
          <t>NA</t>
        </is>
      </c>
      <c r="G53" s="4" t="n"/>
      <c r="H53" s="4" t="n"/>
      <c r="I53" s="4" t="n"/>
      <c r="J53" s="4" t="n"/>
      <c r="K53" s="9" t="n">
        <v>0</v>
      </c>
      <c r="L53" s="4" t="n"/>
      <c r="M53" s="4" t="n"/>
      <c r="N53" s="4" t="n"/>
      <c r="O53" s="4" t="n"/>
      <c r="P53" s="9" t="n">
        <v>0</v>
      </c>
      <c r="Q53" s="4" t="n"/>
      <c r="R53" s="4" t="n"/>
      <c r="S53" s="4" t="n"/>
      <c r="T53" s="4" t="n"/>
      <c r="U53" s="9" t="n">
        <v>0</v>
      </c>
      <c r="V53" s="4" t="n"/>
      <c r="W53" s="4" t="n"/>
      <c r="X53" s="4" t="n"/>
      <c r="Y53" s="4" t="n"/>
      <c r="Z53" s="9" t="n">
        <v>0</v>
      </c>
      <c r="AA53" s="10">
        <f>AVERAGE(K53,P53,U53,Z53)</f>
        <v/>
      </c>
      <c r="AB53" s="11">
        <f>COUNTIF(G53:Z53,"P")</f>
        <v/>
      </c>
      <c r="AC53" s="12">
        <f>COUNTIF(G53:Z53,"L")</f>
        <v/>
      </c>
      <c r="AD53" s="13">
        <f>COUNTIF(G53:Z53,"A")</f>
        <v/>
      </c>
      <c r="AE53" s="14">
        <f>AB53+AC53</f>
        <v/>
      </c>
      <c r="AF53" s="8">
        <f>AE53/16*10</f>
        <v/>
      </c>
      <c r="AG53" s="8">
        <f>AA53</f>
        <v/>
      </c>
      <c r="AH53" s="8" t="n"/>
      <c r="AI53" s="5" t="n"/>
    </row>
    <row r="54">
      <c r="A54" s="50" t="n"/>
      <c r="B54" s="4" t="n">
        <v>46</v>
      </c>
      <c r="C54" s="4" t="n"/>
      <c r="D54" s="7" t="n"/>
      <c r="E54" s="15" t="inlineStr">
        <is>
          <t>NA</t>
        </is>
      </c>
      <c r="F54" s="15" t="inlineStr">
        <is>
          <t>NA</t>
        </is>
      </c>
      <c r="G54" s="4" t="n"/>
      <c r="H54" s="4" t="n"/>
      <c r="I54" s="4" t="n"/>
      <c r="J54" s="4" t="n"/>
      <c r="K54" s="9" t="n">
        <v>0</v>
      </c>
      <c r="L54" s="4" t="n"/>
      <c r="M54" s="4" t="n"/>
      <c r="N54" s="4" t="n"/>
      <c r="O54" s="4" t="n"/>
      <c r="P54" s="9" t="n">
        <v>0</v>
      </c>
      <c r="Q54" s="4" t="n"/>
      <c r="R54" s="4" t="n"/>
      <c r="S54" s="4" t="n"/>
      <c r="T54" s="4" t="n"/>
      <c r="U54" s="9" t="n">
        <v>0</v>
      </c>
      <c r="V54" s="4" t="n"/>
      <c r="W54" s="4" t="n"/>
      <c r="X54" s="4" t="n"/>
      <c r="Y54" s="4" t="n"/>
      <c r="Z54" s="9" t="n">
        <v>0</v>
      </c>
      <c r="AA54" s="10">
        <f>AVERAGE(K54,P54,U54,Z54)</f>
        <v/>
      </c>
      <c r="AB54" s="11">
        <f>COUNTIF(G54:Z54,"P")</f>
        <v/>
      </c>
      <c r="AC54" s="12">
        <f>COUNTIF(G54:Z54,"L")</f>
        <v/>
      </c>
      <c r="AD54" s="13">
        <f>COUNTIF(G54:Z54,"A")</f>
        <v/>
      </c>
      <c r="AE54" s="14">
        <f>AB54+AC54</f>
        <v/>
      </c>
      <c r="AF54" s="8">
        <f>AE54/16*10</f>
        <v/>
      </c>
      <c r="AG54" s="8">
        <f>AA54</f>
        <v/>
      </c>
      <c r="AH54" s="8" t="n"/>
      <c r="AI54" s="5" t="n"/>
    </row>
    <row r="55">
      <c r="A55" s="50" t="n"/>
      <c r="B55" s="4" t="n">
        <v>47</v>
      </c>
      <c r="C55" s="4" t="n"/>
      <c r="D55" s="7" t="n"/>
      <c r="E55" s="15" t="inlineStr">
        <is>
          <t>NA</t>
        </is>
      </c>
      <c r="F55" s="15" t="inlineStr">
        <is>
          <t>NA</t>
        </is>
      </c>
      <c r="G55" s="4" t="n"/>
      <c r="H55" s="4" t="n"/>
      <c r="I55" s="4" t="n"/>
      <c r="J55" s="4" t="n"/>
      <c r="K55" s="9" t="n">
        <v>0</v>
      </c>
      <c r="L55" s="4" t="n"/>
      <c r="M55" s="4" t="n"/>
      <c r="N55" s="4" t="n"/>
      <c r="O55" s="4" t="n"/>
      <c r="P55" s="9" t="n">
        <v>0</v>
      </c>
      <c r="Q55" s="4" t="n"/>
      <c r="R55" s="4" t="n"/>
      <c r="S55" s="4" t="n"/>
      <c r="T55" s="4" t="n"/>
      <c r="U55" s="9" t="n">
        <v>0</v>
      </c>
      <c r="V55" s="4" t="n"/>
      <c r="W55" s="4" t="n"/>
      <c r="X55" s="4" t="n"/>
      <c r="Y55" s="4" t="n"/>
      <c r="Z55" s="9" t="n">
        <v>0</v>
      </c>
      <c r="AA55" s="10">
        <f>AVERAGE(K55,P55,U55,Z55)</f>
        <v/>
      </c>
      <c r="AB55" s="11">
        <f>COUNTIF(G55:Z55,"P")</f>
        <v/>
      </c>
      <c r="AC55" s="12">
        <f>COUNTIF(G55:Z55,"L")</f>
        <v/>
      </c>
      <c r="AD55" s="13">
        <f>COUNTIF(G55:Z55,"A")</f>
        <v/>
      </c>
      <c r="AE55" s="14">
        <f>AB55+AC55</f>
        <v/>
      </c>
      <c r="AF55" s="8">
        <f>AE55/16*10</f>
        <v/>
      </c>
      <c r="AG55" s="8">
        <f>AA55</f>
        <v/>
      </c>
      <c r="AH55" s="8" t="n"/>
      <c r="AI55" s="5" t="n"/>
    </row>
    <row r="56">
      <c r="A56" s="50" t="n"/>
      <c r="B56" s="4" t="n">
        <v>48</v>
      </c>
      <c r="C56" s="4" t="n"/>
      <c r="D56" s="7" t="n"/>
      <c r="E56" s="15" t="inlineStr">
        <is>
          <t>NA</t>
        </is>
      </c>
      <c r="F56" s="15" t="inlineStr">
        <is>
          <t>NA</t>
        </is>
      </c>
      <c r="G56" s="4" t="n"/>
      <c r="H56" s="4" t="n"/>
      <c r="I56" s="4" t="n"/>
      <c r="J56" s="4" t="n"/>
      <c r="K56" s="9" t="n">
        <v>0</v>
      </c>
      <c r="L56" s="4" t="n"/>
      <c r="M56" s="4" t="n"/>
      <c r="N56" s="4" t="n"/>
      <c r="O56" s="4" t="n"/>
      <c r="P56" s="9" t="n">
        <v>0</v>
      </c>
      <c r="Q56" s="4" t="n"/>
      <c r="R56" s="4" t="n"/>
      <c r="S56" s="4" t="n"/>
      <c r="T56" s="4" t="n"/>
      <c r="U56" s="9" t="n">
        <v>0</v>
      </c>
      <c r="V56" s="4" t="n"/>
      <c r="W56" s="4" t="n"/>
      <c r="X56" s="4" t="n"/>
      <c r="Y56" s="4" t="n"/>
      <c r="Z56" s="9" t="n">
        <v>0</v>
      </c>
      <c r="AA56" s="10">
        <f>AVERAGE(K56,P56,U56,Z56)</f>
        <v/>
      </c>
      <c r="AB56" s="11">
        <f>COUNTIF(G56:Z56,"P")</f>
        <v/>
      </c>
      <c r="AC56" s="12">
        <f>COUNTIF(G56:Z56,"L")</f>
        <v/>
      </c>
      <c r="AD56" s="13">
        <f>COUNTIF(G56:Z56,"A")</f>
        <v/>
      </c>
      <c r="AE56" s="14">
        <f>AB56+AC56</f>
        <v/>
      </c>
      <c r="AF56" s="8">
        <f>AE56/16*10</f>
        <v/>
      </c>
      <c r="AG56" s="8">
        <f>AA56</f>
        <v/>
      </c>
      <c r="AH56" s="8" t="n"/>
      <c r="AI56" s="5" t="n"/>
    </row>
    <row r="57">
      <c r="A57" s="50" t="n"/>
      <c r="B57" s="4" t="n">
        <v>49</v>
      </c>
      <c r="C57" s="4" t="n"/>
      <c r="D57" s="7" t="n"/>
      <c r="E57" s="15" t="inlineStr">
        <is>
          <t>NA</t>
        </is>
      </c>
      <c r="F57" s="15" t="inlineStr">
        <is>
          <t>NA</t>
        </is>
      </c>
      <c r="G57" s="4" t="n"/>
      <c r="H57" s="4" t="n"/>
      <c r="I57" s="4" t="n"/>
      <c r="J57" s="4" t="n"/>
      <c r="K57" s="9" t="n">
        <v>0</v>
      </c>
      <c r="L57" s="4" t="n"/>
      <c r="M57" s="4" t="n"/>
      <c r="N57" s="4" t="n"/>
      <c r="O57" s="4" t="n"/>
      <c r="P57" s="9" t="n">
        <v>0</v>
      </c>
      <c r="Q57" s="4" t="n"/>
      <c r="R57" s="4" t="n"/>
      <c r="S57" s="4" t="n"/>
      <c r="T57" s="4" t="n"/>
      <c r="U57" s="9" t="n">
        <v>0</v>
      </c>
      <c r="V57" s="4" t="n"/>
      <c r="W57" s="4" t="n"/>
      <c r="X57" s="4" t="n"/>
      <c r="Y57" s="4" t="n"/>
      <c r="Z57" s="9" t="n">
        <v>0</v>
      </c>
      <c r="AA57" s="10">
        <f>AVERAGE(K57,P57,U57,Z57)</f>
        <v/>
      </c>
      <c r="AB57" s="11">
        <f>COUNTIF(G57:Z57,"P")</f>
        <v/>
      </c>
      <c r="AC57" s="12">
        <f>COUNTIF(G57:Z57,"L")</f>
        <v/>
      </c>
      <c r="AD57" s="13">
        <f>COUNTIF(G57:Z57,"A")</f>
        <v/>
      </c>
      <c r="AE57" s="14">
        <f>AB57+AC57</f>
        <v/>
      </c>
      <c r="AF57" s="8">
        <f>AE57/16*10</f>
        <v/>
      </c>
      <c r="AG57" s="8">
        <f>AA57</f>
        <v/>
      </c>
      <c r="AH57" s="8" t="n"/>
      <c r="AI57" s="5" t="n"/>
    </row>
    <row r="58">
      <c r="A58" s="50" t="n"/>
      <c r="B58" s="4" t="n">
        <v>50</v>
      </c>
      <c r="C58" s="4" t="n"/>
      <c r="D58" s="7" t="n"/>
      <c r="E58" s="15" t="inlineStr">
        <is>
          <t>NA</t>
        </is>
      </c>
      <c r="F58" s="15" t="inlineStr">
        <is>
          <t>NA</t>
        </is>
      </c>
      <c r="G58" s="4" t="n"/>
      <c r="H58" s="4" t="n"/>
      <c r="I58" s="4" t="n"/>
      <c r="J58" s="4" t="n"/>
      <c r="K58" s="9" t="n">
        <v>0</v>
      </c>
      <c r="L58" s="4" t="n"/>
      <c r="M58" s="4" t="n"/>
      <c r="N58" s="4" t="n"/>
      <c r="O58" s="4" t="n"/>
      <c r="P58" s="9" t="n">
        <v>0</v>
      </c>
      <c r="Q58" s="4" t="n"/>
      <c r="R58" s="4" t="n"/>
      <c r="S58" s="4" t="n"/>
      <c r="T58" s="4" t="n"/>
      <c r="U58" s="9" t="n">
        <v>0</v>
      </c>
      <c r="V58" s="4" t="n"/>
      <c r="W58" s="4" t="n"/>
      <c r="X58" s="4" t="n"/>
      <c r="Y58" s="4" t="n"/>
      <c r="Z58" s="9" t="n">
        <v>0</v>
      </c>
      <c r="AA58" s="10">
        <f>AVERAGE(K58,P58,U58,Z58)</f>
        <v/>
      </c>
      <c r="AB58" s="11">
        <f>COUNTIF(G58:Z58,"P")</f>
        <v/>
      </c>
      <c r="AC58" s="12">
        <f>COUNTIF(G58:Z58,"L")</f>
        <v/>
      </c>
      <c r="AD58" s="13">
        <f>COUNTIF(G58:Z58,"A")</f>
        <v/>
      </c>
      <c r="AE58" s="14">
        <f>AB58+AC58</f>
        <v/>
      </c>
      <c r="AF58" s="8">
        <f>AE58/16*10</f>
        <v/>
      </c>
      <c r="AG58" s="8">
        <f>AA58</f>
        <v/>
      </c>
      <c r="AH58" s="8" t="n"/>
      <c r="AI58" s="5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  <c r="AH59" s="50" t="n"/>
      <c r="AI59" s="50" t="n"/>
    </row>
  </sheetData>
  <mergeCells count="23">
    <mergeCell ref="Q7:R7"/>
    <mergeCell ref="L7:M7"/>
    <mergeCell ref="N7:O7"/>
    <mergeCell ref="A3:C3"/>
    <mergeCell ref="V8:W8"/>
    <mergeCell ref="G8:H8"/>
    <mergeCell ref="X8:Y8"/>
    <mergeCell ref="E8:F8"/>
    <mergeCell ref="A2:C2"/>
    <mergeCell ref="Q8:R8"/>
    <mergeCell ref="S8:T8"/>
    <mergeCell ref="X7:Y7"/>
    <mergeCell ref="A5:C5"/>
    <mergeCell ref="G7:H7"/>
    <mergeCell ref="S7:T7"/>
    <mergeCell ref="I7:J7"/>
    <mergeCell ref="A4:C4"/>
    <mergeCell ref="L8:M8"/>
    <mergeCell ref="N8:O8"/>
    <mergeCell ref="I8:J8"/>
    <mergeCell ref="V7:W7"/>
    <mergeCell ref="E7:F7"/>
    <mergeCell ref="A6:C6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ColWidth="9.140625" defaultRowHeight="15"/>
  <cols>
    <col width="3.7109375" customWidth="1" style="1" min="1" max="1"/>
    <col width="4.85546875" customWidth="1" style="2" min="2" max="2"/>
    <col width="9.42578125" customWidth="1" style="2" min="3" max="3"/>
    <col width="22" customWidth="1" style="1" min="4" max="5"/>
    <col width="16" bestFit="1" customWidth="1" style="1" min="6" max="6"/>
    <col width="22.42578125" customWidth="1" style="1" min="7" max="7"/>
    <col width="21" bestFit="1" customWidth="1" style="1" min="8" max="8"/>
    <col width="9.140625" customWidth="1" style="1" min="9" max="16384"/>
  </cols>
  <sheetData>
    <row r="1" ht="21.75" customHeight="1">
      <c r="A1" s="26" t="n"/>
      <c r="B1" s="53" t="n"/>
      <c r="C1" s="93" t="inlineStr">
        <is>
          <t>Section:</t>
        </is>
      </c>
      <c r="D1" s="55" t="inlineStr">
        <is>
          <t>4D</t>
        </is>
      </c>
      <c r="E1" s="58" t="inlineStr">
        <is>
          <t>Marks Recording Sheet</t>
        </is>
      </c>
      <c r="F1" s="32" t="n"/>
      <c r="G1" s="32" t="n"/>
      <c r="H1" s="26" t="n"/>
      <c r="I1" s="26" t="n"/>
    </row>
    <row r="2" ht="20.25" customHeight="1">
      <c r="A2" s="93" t="inlineStr">
        <is>
          <t>Teacher Name:</t>
        </is>
      </c>
      <c r="B2" s="94" t="n"/>
      <c r="C2" s="95" t="n"/>
      <c r="D2" s="55">
        <f>'G4- Attendance'!D2</f>
        <v/>
      </c>
      <c r="E2" s="35">
        <f>'G4- Attendance'!E2</f>
        <v/>
      </c>
      <c r="F2" s="26" t="n"/>
      <c r="G2" s="49" t="n"/>
      <c r="H2" s="26" t="n"/>
      <c r="I2" s="26" t="n"/>
    </row>
    <row r="3" ht="21" customHeight="1">
      <c r="A3" s="93" t="inlineStr">
        <is>
          <t>School ID:</t>
        </is>
      </c>
      <c r="B3" s="94" t="n"/>
      <c r="C3" s="95" t="n"/>
      <c r="D3" s="56">
        <f>'G4- Attendance'!D3</f>
        <v/>
      </c>
      <c r="E3" s="59">
        <f>'G4- Attendance'!E3</f>
        <v/>
      </c>
      <c r="F3" s="26" t="n"/>
      <c r="G3" s="26" t="n"/>
      <c r="H3" s="26" t="n"/>
      <c r="I3" s="26" t="n"/>
    </row>
    <row r="4" ht="23.25" customFormat="1" customHeight="1" s="23">
      <c r="A4" s="93" t="inlineStr">
        <is>
          <t>School Name:</t>
        </is>
      </c>
      <c r="B4" s="94" t="n"/>
      <c r="C4" s="95" t="n"/>
      <c r="D4" s="56">
        <f>'G4- Attendance'!D4</f>
        <v/>
      </c>
      <c r="E4" s="59">
        <f>'G4- Attendance'!E4</f>
        <v/>
      </c>
      <c r="F4" s="60" t="n"/>
      <c r="G4" s="60" t="n"/>
      <c r="H4" s="61" t="n"/>
      <c r="I4" s="61" t="n"/>
    </row>
    <row r="5" ht="18" customHeight="1">
      <c r="A5" s="93" t="inlineStr">
        <is>
          <t>Emirate/Area:</t>
        </is>
      </c>
      <c r="B5" s="94" t="n"/>
      <c r="C5" s="95" t="n"/>
      <c r="D5" s="56">
        <f>'G4- Attendance'!D5</f>
        <v/>
      </c>
      <c r="E5" s="62" t="n"/>
      <c r="F5" s="62" t="n"/>
      <c r="G5" s="62" t="n"/>
      <c r="H5" s="26" t="n"/>
      <c r="I5" s="26" t="n"/>
    </row>
    <row r="6" ht="41.25" customHeight="1">
      <c r="A6" s="93" t="inlineStr">
        <is>
          <t>Council:</t>
        </is>
      </c>
      <c r="B6" s="94" t="n"/>
      <c r="C6" s="95" t="n"/>
      <c r="D6" s="57">
        <f>'G4- Attendance'!D6</f>
        <v/>
      </c>
      <c r="E6" s="49" t="n"/>
      <c r="F6" s="63" t="n"/>
      <c r="G6" s="64" t="n"/>
      <c r="H6" s="64" t="n"/>
      <c r="I6" s="26" t="n"/>
    </row>
    <row r="7" ht="28.5" customHeight="1">
      <c r="A7" s="32" t="n"/>
      <c r="B7" s="27" t="n"/>
      <c r="C7" s="48" t="n"/>
      <c r="D7" s="49" t="n"/>
      <c r="E7" s="75" t="inlineStr">
        <is>
          <t>School-based Assessment (SB1)</t>
        </is>
      </c>
      <c r="F7" s="80" t="inlineStr">
        <is>
          <t>Attendance/
Effort</t>
        </is>
      </c>
      <c r="G7" s="76" t="inlineStr">
        <is>
          <t>School-based Total</t>
        </is>
      </c>
      <c r="H7" s="77" t="inlineStr">
        <is>
          <t>End of Term Total</t>
        </is>
      </c>
      <c r="I7" s="26" t="n"/>
      <c r="K7" s="3" t="n"/>
    </row>
    <row r="8" ht="15.75" customHeight="1">
      <c r="A8" s="26" t="n"/>
      <c r="B8" s="51" t="inlineStr">
        <is>
          <t>No</t>
        </is>
      </c>
      <c r="C8" s="51" t="inlineStr">
        <is>
          <t>Student #</t>
        </is>
      </c>
      <c r="D8" s="78" t="inlineStr">
        <is>
          <t>Student Name</t>
        </is>
      </c>
      <c r="E8" s="19" t="inlineStr">
        <is>
          <t>80 marks</t>
        </is>
      </c>
      <c r="F8" s="18" t="inlineStr">
        <is>
          <t>20 marks</t>
        </is>
      </c>
      <c r="G8" s="17" t="inlineStr">
        <is>
          <t>100 marks</t>
        </is>
      </c>
      <c r="H8" s="77" t="inlineStr">
        <is>
          <t>100 marks</t>
        </is>
      </c>
      <c r="I8" s="26" t="n"/>
    </row>
    <row r="9">
      <c r="A9" s="50" t="n"/>
      <c r="B9" s="22" t="n">
        <v>1</v>
      </c>
      <c r="C9" s="22" t="n">
        <v>1</v>
      </c>
      <c r="D9" s="25" t="inlineStr">
        <is>
          <t>بطي خالد خليفة عبدالله الريسي</t>
        </is>
      </c>
      <c r="E9" s="6" t="n">
        <v>58</v>
      </c>
      <c r="F9" s="8" t="n">
        <v>18</v>
      </c>
      <c r="G9" s="16" t="n">
        <v>76</v>
      </c>
      <c r="H9" s="79" t="n">
        <v>99</v>
      </c>
      <c r="I9" s="26" t="n"/>
    </row>
    <row r="10">
      <c r="A10" s="50" t="n"/>
      <c r="B10" s="22" t="n">
        <v>2</v>
      </c>
      <c r="C10" s="22" t="n">
        <v>2</v>
      </c>
      <c r="D10" s="25" t="inlineStr">
        <is>
          <t>حسين هادى حمد فرحان الأحبابي</t>
        </is>
      </c>
      <c r="E10" s="6" t="n">
        <v>80</v>
      </c>
      <c r="F10" s="8" t="n">
        <v>19</v>
      </c>
      <c r="G10" s="16" t="n">
        <v>99</v>
      </c>
      <c r="H10" s="79" t="n">
        <v>77</v>
      </c>
      <c r="I10" s="26" t="n"/>
    </row>
    <row r="11">
      <c r="A11" s="50" t="n"/>
      <c r="B11" s="22" t="n">
        <v>3</v>
      </c>
      <c r="C11" s="22" t="n">
        <v>3</v>
      </c>
      <c r="D11" s="25" t="inlineStr">
        <is>
          <t>حمد راشد حمد عبدالله المري</t>
        </is>
      </c>
      <c r="E11" s="6" t="n">
        <v>80</v>
      </c>
      <c r="F11" s="8" t="n">
        <v>18</v>
      </c>
      <c r="G11" s="16" t="n">
        <v>98</v>
      </c>
      <c r="H11" s="79" t="n">
        <v>55</v>
      </c>
      <c r="I11" s="26" t="n"/>
    </row>
    <row r="12">
      <c r="A12" s="50" t="n"/>
      <c r="B12" s="22" t="n">
        <v>4</v>
      </c>
      <c r="C12" s="22" t="n">
        <v>4</v>
      </c>
      <c r="D12" s="25" t="inlineStr">
        <is>
          <t>حمد عبدالله احمد سليمان الحارثى</t>
        </is>
      </c>
      <c r="E12" s="6" t="n">
        <v>75</v>
      </c>
      <c r="F12" s="8" t="n">
        <v>20</v>
      </c>
      <c r="G12" s="16" t="n">
        <v>95</v>
      </c>
      <c r="H12" s="79" t="n">
        <v>93</v>
      </c>
      <c r="I12" s="26" t="n"/>
    </row>
    <row r="13">
      <c r="A13" s="50" t="n"/>
      <c r="B13" s="22" t="n">
        <v>5</v>
      </c>
      <c r="C13" s="22" t="n">
        <v>5</v>
      </c>
      <c r="D13" s="25" t="inlineStr">
        <is>
          <t>حمد محمد على سالم الأحبابي</t>
        </is>
      </c>
      <c r="E13" s="6" t="n">
        <v>80</v>
      </c>
      <c r="F13" s="8" t="n">
        <v>18</v>
      </c>
      <c r="G13" s="16" t="n">
        <v>98</v>
      </c>
      <c r="H13" s="79" t="n">
        <v>100</v>
      </c>
      <c r="I13" s="26" t="n"/>
    </row>
    <row r="14">
      <c r="A14" s="50" t="n"/>
      <c r="B14" s="22" t="n">
        <v>6</v>
      </c>
      <c r="C14" s="22" t="n">
        <v>6</v>
      </c>
      <c r="D14" s="25" t="inlineStr">
        <is>
          <t>حور محمد خليفه مباارك الربيعي</t>
        </is>
      </c>
      <c r="E14" s="6" t="n">
        <v>80</v>
      </c>
      <c r="F14" s="8" t="n">
        <v>19</v>
      </c>
      <c r="G14" s="16" t="n">
        <v>99</v>
      </c>
      <c r="H14" s="79" t="n">
        <v>99</v>
      </c>
      <c r="I14" s="26" t="n"/>
    </row>
    <row r="15">
      <c r="A15" s="50" t="n"/>
      <c r="B15" s="22" t="n">
        <v>7</v>
      </c>
      <c r="C15" s="22" t="n">
        <v>7</v>
      </c>
      <c r="D15" s="25" t="inlineStr">
        <is>
          <t>خالد سعيد عبيد سعيد الظنحاني</t>
        </is>
      </c>
      <c r="E15" s="6" t="n">
        <v>80</v>
      </c>
      <c r="F15" s="8" t="n">
        <v>18</v>
      </c>
      <c r="G15" s="16" t="n">
        <v>98</v>
      </c>
      <c r="H15" s="79" t="n">
        <v>85</v>
      </c>
      <c r="I15" s="26" t="n"/>
    </row>
    <row r="16">
      <c r="A16" s="50" t="n"/>
      <c r="B16" s="22" t="n">
        <v>8</v>
      </c>
      <c r="C16" s="22" t="n">
        <v>8</v>
      </c>
      <c r="D16" s="25" t="inlineStr">
        <is>
          <t>خالد مشعل علي شتوي القحطاني</t>
        </is>
      </c>
      <c r="E16" s="6" t="n">
        <v>71</v>
      </c>
      <c r="F16" s="8" t="n">
        <v>19</v>
      </c>
      <c r="G16" s="16" t="n">
        <v>90</v>
      </c>
      <c r="H16" s="79" t="n">
        <v>89</v>
      </c>
      <c r="I16" s="26" t="n"/>
    </row>
    <row r="17">
      <c r="A17" s="50" t="n"/>
      <c r="B17" s="22" t="n">
        <v>9</v>
      </c>
      <c r="C17" s="22" t="n">
        <v>9</v>
      </c>
      <c r="D17" s="25" t="inlineStr">
        <is>
          <t>خميس جميل خميس درويش السعدي</t>
        </is>
      </c>
      <c r="E17" s="6" t="n">
        <v>74</v>
      </c>
      <c r="F17" s="8" t="n">
        <v>19</v>
      </c>
      <c r="G17" s="16" t="n">
        <v>93</v>
      </c>
      <c r="H17" s="79" t="n">
        <v>88</v>
      </c>
      <c r="I17" s="26" t="n"/>
    </row>
    <row r="18">
      <c r="A18" s="50" t="n"/>
      <c r="B18" s="22" t="n">
        <v>10</v>
      </c>
      <c r="C18" s="22" t="n">
        <v>10</v>
      </c>
      <c r="D18" s="25" t="inlineStr">
        <is>
          <t>دلال ظافر سعيد حسين الأحبابي</t>
        </is>
      </c>
      <c r="E18" s="6" t="n">
        <v>80</v>
      </c>
      <c r="F18" s="8" t="n">
        <v>19</v>
      </c>
      <c r="G18" s="16" t="n">
        <v>99</v>
      </c>
      <c r="H18" s="79" t="n">
        <v>99</v>
      </c>
      <c r="I18" s="26" t="n"/>
    </row>
    <row r="19">
      <c r="A19" s="50" t="n"/>
      <c r="B19" s="22" t="n">
        <v>11</v>
      </c>
      <c r="C19" s="22" t="n">
        <v>11</v>
      </c>
      <c r="D19" s="25" t="inlineStr">
        <is>
          <t>روضه سالم ناصر صابر البلوشي</t>
        </is>
      </c>
      <c r="E19" s="6" t="n">
        <v>80</v>
      </c>
      <c r="F19" s="8" t="n">
        <v>20</v>
      </c>
      <c r="G19" s="16" t="n">
        <v>100</v>
      </c>
      <c r="H19" s="79" t="n">
        <v>99</v>
      </c>
      <c r="I19" s="26" t="n"/>
    </row>
    <row r="20">
      <c r="A20" s="50" t="n"/>
      <c r="B20" s="22" t="n">
        <v>12</v>
      </c>
      <c r="C20" s="22" t="n">
        <v>12</v>
      </c>
      <c r="D20" s="25" t="inlineStr">
        <is>
          <t>زايد بن ناصر بن سعيد بن محمد العامري</t>
        </is>
      </c>
      <c r="E20" s="6" t="n">
        <v>70</v>
      </c>
      <c r="F20" s="8" t="n">
        <v>19</v>
      </c>
      <c r="G20" s="16" t="n">
        <v>89</v>
      </c>
      <c r="H20" s="79" t="n">
        <v>88</v>
      </c>
      <c r="I20" s="26" t="n"/>
    </row>
    <row r="21">
      <c r="A21" s="50" t="n"/>
      <c r="B21" s="22" t="n">
        <v>13</v>
      </c>
      <c r="C21" s="22" t="n">
        <v>13</v>
      </c>
      <c r="D21" s="25" t="inlineStr">
        <is>
          <t>سلامه عبدالله محمد عايض الأحبابي</t>
        </is>
      </c>
      <c r="E21" s="6" t="n">
        <v>78</v>
      </c>
      <c r="F21" s="8" t="n">
        <v>18</v>
      </c>
      <c r="G21" s="16" t="n">
        <v>96</v>
      </c>
      <c r="H21" s="79" t="n">
        <v>83</v>
      </c>
      <c r="I21" s="26" t="n"/>
    </row>
    <row r="22">
      <c r="A22" s="50" t="n"/>
      <c r="B22" s="22" t="n">
        <v>14</v>
      </c>
      <c r="C22" s="22" t="n">
        <v>14</v>
      </c>
      <c r="D22" s="25" t="inlineStr">
        <is>
          <t>سلمان محمد حسين محمد الأحبابي</t>
        </is>
      </c>
      <c r="E22" s="6" t="n">
        <v>80</v>
      </c>
      <c r="F22" s="8" t="n">
        <v>20</v>
      </c>
      <c r="G22" s="16" t="n">
        <v>100</v>
      </c>
      <c r="H22" s="79" t="n">
        <v>88</v>
      </c>
      <c r="I22" s="26" t="n"/>
    </row>
    <row r="23">
      <c r="A23" s="50" t="n"/>
      <c r="B23" s="22" t="n">
        <v>15</v>
      </c>
      <c r="C23" s="22" t="n">
        <v>15</v>
      </c>
      <c r="D23" s="25" t="inlineStr">
        <is>
          <t>شمه خالد جمعه محمد</t>
        </is>
      </c>
      <c r="E23" s="6" t="n">
        <v>80</v>
      </c>
      <c r="F23" s="8" t="n">
        <v>18</v>
      </c>
      <c r="G23" s="16" t="n">
        <v>98</v>
      </c>
      <c r="H23" s="79" t="n">
        <v>75</v>
      </c>
      <c r="I23" s="26" t="n"/>
    </row>
    <row r="24">
      <c r="A24" s="50" t="n"/>
      <c r="B24" s="22" t="n">
        <v>16</v>
      </c>
      <c r="C24" s="22" t="n">
        <v>16</v>
      </c>
      <c r="D24" s="25" t="inlineStr">
        <is>
          <t>عبدالله خليفه عبدالله سالم</t>
        </is>
      </c>
      <c r="E24" s="6" t="n">
        <v>78</v>
      </c>
      <c r="F24" s="8" t="n">
        <v>19</v>
      </c>
      <c r="G24" s="16" t="n">
        <v>97</v>
      </c>
      <c r="H24" s="79" t="n">
        <v>96</v>
      </c>
      <c r="I24" s="26" t="n"/>
    </row>
    <row r="25">
      <c r="A25" s="50" t="n"/>
      <c r="B25" s="22" t="n">
        <v>17</v>
      </c>
      <c r="C25" s="22" t="n">
        <v>17</v>
      </c>
      <c r="D25" s="25" t="inlineStr">
        <is>
          <t>عبدالله عمر عبدالله مراد البلوشي</t>
        </is>
      </c>
      <c r="E25" s="6" t="n">
        <v>80</v>
      </c>
      <c r="F25" s="8" t="n">
        <v>20</v>
      </c>
      <c r="G25" s="16" t="n">
        <v>100</v>
      </c>
      <c r="H25" s="79" t="n">
        <v>98</v>
      </c>
      <c r="I25" s="26" t="n"/>
    </row>
    <row r="26">
      <c r="A26" s="50" t="n"/>
      <c r="B26" s="22" t="n">
        <v>18</v>
      </c>
      <c r="C26" s="22" t="n">
        <v>18</v>
      </c>
      <c r="D26" s="25" t="inlineStr">
        <is>
          <t>عوض سعيد مطر غميل النعيمي</t>
        </is>
      </c>
      <c r="E26" s="6" t="n">
        <v>73</v>
      </c>
      <c r="F26" s="8" t="n">
        <v>18</v>
      </c>
      <c r="G26" s="16" t="n">
        <v>91</v>
      </c>
      <c r="H26" s="79" t="n">
        <v>93</v>
      </c>
      <c r="I26" s="26" t="n"/>
    </row>
    <row r="27">
      <c r="A27" s="50" t="n"/>
      <c r="B27" s="22" t="n">
        <v>19</v>
      </c>
      <c r="C27" s="22" t="n">
        <v>19</v>
      </c>
      <c r="D27" s="25" t="inlineStr">
        <is>
          <t>غلا ايمن احمد سالمين الكثيري</t>
        </is>
      </c>
      <c r="E27" s="6" t="n">
        <v>74</v>
      </c>
      <c r="F27" s="8" t="n">
        <v>18</v>
      </c>
      <c r="G27" s="16" t="n">
        <v>92</v>
      </c>
      <c r="H27" s="79" t="n">
        <v>88</v>
      </c>
      <c r="I27" s="26" t="n"/>
    </row>
    <row r="28">
      <c r="A28" s="50" t="n"/>
      <c r="B28" s="22" t="n">
        <v>20</v>
      </c>
      <c r="C28" s="22" t="n">
        <v>20</v>
      </c>
      <c r="D28" s="25" t="inlineStr">
        <is>
          <t>فاطمه سالم علي جمعه الكعبي</t>
        </is>
      </c>
      <c r="E28" s="6" t="n">
        <v>80</v>
      </c>
      <c r="F28" s="8" t="n">
        <v>19</v>
      </c>
      <c r="G28" s="16" t="n">
        <v>99</v>
      </c>
      <c r="H28" s="79" t="n">
        <v>98</v>
      </c>
      <c r="I28" s="26" t="n"/>
    </row>
    <row r="29">
      <c r="A29" s="50" t="n"/>
      <c r="B29" s="22" t="n">
        <v>21</v>
      </c>
      <c r="C29" s="22" t="n">
        <v>21</v>
      </c>
      <c r="D29" s="25" t="inlineStr">
        <is>
          <t>فاطمه سلطان خميس سعيد المقبالي</t>
        </is>
      </c>
      <c r="E29" s="6" t="n">
        <v>80</v>
      </c>
      <c r="F29" s="8" t="n">
        <v>19</v>
      </c>
      <c r="G29" s="16" t="n">
        <v>99</v>
      </c>
      <c r="H29" s="79" t="n">
        <v>100</v>
      </c>
      <c r="I29" s="26" t="n"/>
    </row>
    <row r="30">
      <c r="A30" s="50" t="n"/>
      <c r="B30" s="22" t="n">
        <v>22</v>
      </c>
      <c r="C30" s="22" t="n">
        <v>22</v>
      </c>
      <c r="D30" s="25" t="inlineStr">
        <is>
          <t>محمد بدر محمد غلام محمد</t>
        </is>
      </c>
      <c r="E30" s="6" t="n">
        <v>80</v>
      </c>
      <c r="F30" s="8" t="n">
        <v>19</v>
      </c>
      <c r="G30" s="16" t="n">
        <v>99</v>
      </c>
      <c r="H30" s="79" t="n">
        <v>85</v>
      </c>
      <c r="I30" s="26" t="n"/>
    </row>
    <row r="31">
      <c r="A31" s="50" t="n"/>
      <c r="B31" s="22" t="n">
        <v>23</v>
      </c>
      <c r="C31" s="22" t="n">
        <v>23</v>
      </c>
      <c r="D31" s="25" t="inlineStr">
        <is>
          <t>مسلم سعيد سالم عيظه العامري</t>
        </is>
      </c>
      <c r="E31" s="6" t="n">
        <v>80</v>
      </c>
      <c r="F31" s="8" t="n">
        <v>18</v>
      </c>
      <c r="G31" s="16" t="n">
        <v>98</v>
      </c>
      <c r="H31" s="79" t="n">
        <v>76</v>
      </c>
      <c r="I31" s="26" t="n"/>
    </row>
    <row r="32">
      <c r="A32" s="50" t="n"/>
      <c r="B32" s="22" t="n">
        <v>24</v>
      </c>
      <c r="C32" s="22" t="n">
        <v>24</v>
      </c>
      <c r="D32" s="25" t="inlineStr">
        <is>
          <t>منصور سالم خميس سعيد الساعدي</t>
        </is>
      </c>
      <c r="E32" s="6" t="n">
        <v>80</v>
      </c>
      <c r="F32" s="8" t="n">
        <v>20</v>
      </c>
      <c r="G32" s="16" t="n">
        <v>100</v>
      </c>
      <c r="H32" s="79" t="n">
        <v>96</v>
      </c>
      <c r="I32" s="26" t="n"/>
    </row>
    <row r="33">
      <c r="A33" s="50" t="n"/>
      <c r="B33" s="22" t="n">
        <v>25</v>
      </c>
      <c r="C33" s="22" t="n">
        <v>25</v>
      </c>
      <c r="D33" s="25" t="inlineStr">
        <is>
          <t>ميره بنت خالد بن بن</t>
        </is>
      </c>
      <c r="E33" s="6" t="n">
        <v>80</v>
      </c>
      <c r="F33" s="8" t="n">
        <v>20</v>
      </c>
      <c r="G33" s="16" t="n">
        <v>100</v>
      </c>
      <c r="H33" s="79" t="n">
        <v>99</v>
      </c>
      <c r="I33" s="26" t="n"/>
    </row>
    <row r="34">
      <c r="A34" s="50" t="n"/>
      <c r="B34" s="22" t="n">
        <v>26</v>
      </c>
      <c r="C34" s="22" t="n">
        <v>26</v>
      </c>
      <c r="D34" s="25" t="inlineStr">
        <is>
          <t>نايف يحيى سلطان سعيد الشامسي</t>
        </is>
      </c>
      <c r="E34" s="6" t="n">
        <v>80</v>
      </c>
      <c r="F34" s="8" t="n">
        <v>18</v>
      </c>
      <c r="G34" s="16" t="n">
        <v>98</v>
      </c>
      <c r="H34" s="79" t="n">
        <v>93</v>
      </c>
      <c r="I34" s="26" t="n"/>
    </row>
    <row r="35">
      <c r="A35" s="50" t="n"/>
      <c r="B35" s="22" t="n">
        <v>27</v>
      </c>
      <c r="C35" s="22" t="n">
        <v>27</v>
      </c>
      <c r="D35" s="25" t="inlineStr">
        <is>
          <t>وديمه نادر خميس علي الشامسي</t>
        </is>
      </c>
      <c r="E35" s="6" t="n">
        <v>80</v>
      </c>
      <c r="F35" s="8" t="n">
        <v>19</v>
      </c>
      <c r="G35" s="16" t="n">
        <v>99</v>
      </c>
      <c r="H35" s="79" t="n">
        <v>90</v>
      </c>
      <c r="I35" s="26" t="n"/>
    </row>
    <row r="36">
      <c r="A36" s="50" t="n"/>
      <c r="B36" s="22" t="n"/>
      <c r="C36" s="22" t="n"/>
      <c r="D36" s="25" t="n"/>
      <c r="E36" s="6" t="n"/>
      <c r="F36" s="8" t="n"/>
      <c r="G36" s="16" t="n"/>
      <c r="H36" s="79" t="n"/>
      <c r="I36" s="26" t="n"/>
    </row>
    <row r="37">
      <c r="A37" s="50" t="n"/>
      <c r="B37" s="22" t="n"/>
      <c r="C37" s="22" t="n"/>
      <c r="D37" s="25" t="n"/>
      <c r="E37" s="6" t="n"/>
      <c r="F37" s="8" t="n"/>
      <c r="G37" s="16" t="n"/>
      <c r="H37" s="79" t="n"/>
      <c r="I37" s="26" t="n"/>
    </row>
    <row r="38">
      <c r="A38" s="50" t="n"/>
      <c r="B38" s="22" t="n"/>
      <c r="C38" s="22" t="n"/>
      <c r="D38" s="25" t="n"/>
      <c r="E38" s="6" t="n"/>
      <c r="F38" s="8" t="n"/>
      <c r="G38" s="16" t="n"/>
      <c r="H38" s="79" t="n"/>
      <c r="I38" s="26" t="n"/>
    </row>
    <row r="39">
      <c r="A39" s="50" t="n"/>
      <c r="B39" s="22" t="n"/>
      <c r="C39" s="22" t="n"/>
      <c r="D39" s="25" t="n"/>
      <c r="E39" s="6" t="n"/>
      <c r="F39" s="8" t="n"/>
      <c r="G39" s="16" t="n"/>
      <c r="H39" s="79" t="n"/>
      <c r="I39" s="26" t="n"/>
    </row>
    <row r="40">
      <c r="A40" s="50" t="n"/>
      <c r="B40" s="22" t="n"/>
      <c r="C40" s="22" t="n"/>
      <c r="D40" s="25" t="n"/>
      <c r="E40" s="6" t="n"/>
      <c r="F40" s="8" t="n"/>
      <c r="G40" s="16" t="n"/>
      <c r="H40" s="79" t="n"/>
      <c r="I40" s="26" t="n"/>
    </row>
    <row r="41">
      <c r="A41" s="50" t="n"/>
      <c r="B41" s="22" t="n"/>
      <c r="C41" s="22" t="n"/>
      <c r="D41" s="25" t="n"/>
      <c r="E41" s="6" t="n"/>
      <c r="F41" s="8" t="n"/>
      <c r="G41" s="16" t="n"/>
      <c r="H41" s="79" t="n"/>
      <c r="I41" s="26" t="n"/>
    </row>
    <row r="42">
      <c r="A42" s="50" t="n"/>
      <c r="B42" s="22" t="n"/>
      <c r="C42" s="22" t="n"/>
      <c r="D42" s="25" t="n"/>
      <c r="E42" s="6" t="n"/>
      <c r="F42" s="8" t="n"/>
      <c r="G42" s="16" t="n"/>
      <c r="H42" s="79" t="n"/>
      <c r="I42" s="26" t="n"/>
    </row>
    <row r="43">
      <c r="A43" s="50" t="n"/>
      <c r="B43" s="22" t="n"/>
      <c r="C43" s="22" t="n"/>
      <c r="D43" s="25" t="n"/>
      <c r="E43" s="6" t="n"/>
      <c r="F43" s="8" t="n"/>
      <c r="G43" s="16" t="n"/>
      <c r="H43" s="79" t="n"/>
      <c r="I43" s="26" t="n"/>
    </row>
    <row r="44">
      <c r="A44" s="50" t="n"/>
      <c r="B44" s="22" t="n"/>
      <c r="C44" s="22" t="n"/>
      <c r="D44" s="25" t="n"/>
      <c r="E44" s="6" t="n"/>
      <c r="F44" s="8" t="n"/>
      <c r="G44" s="16" t="n"/>
      <c r="H44" s="79" t="n"/>
      <c r="I44" s="26" t="n"/>
    </row>
    <row r="45">
      <c r="A45" s="50" t="n"/>
      <c r="B45" s="22" t="n"/>
      <c r="C45" s="22" t="n"/>
      <c r="D45" s="25" t="n"/>
      <c r="E45" s="6" t="n"/>
      <c r="F45" s="8" t="n"/>
      <c r="G45" s="16" t="n"/>
      <c r="H45" s="79" t="n"/>
      <c r="I45" s="26" t="n"/>
    </row>
    <row r="46">
      <c r="A46" s="50" t="n"/>
      <c r="B46" s="22" t="n"/>
      <c r="C46" s="22" t="n"/>
      <c r="D46" s="25" t="n"/>
      <c r="E46" s="6" t="n"/>
      <c r="F46" s="8" t="n"/>
      <c r="G46" s="16" t="n"/>
      <c r="H46" s="79" t="n"/>
      <c r="I46" s="26" t="n"/>
    </row>
    <row r="47">
      <c r="A47" s="50" t="n"/>
      <c r="B47" s="22" t="n"/>
      <c r="C47" s="22" t="n"/>
      <c r="D47" s="25" t="n"/>
      <c r="E47" s="6" t="n"/>
      <c r="F47" s="8" t="n"/>
      <c r="G47" s="16" t="n"/>
      <c r="H47" s="79" t="n"/>
      <c r="I47" s="26" t="n"/>
    </row>
    <row r="48">
      <c r="A48" s="50" t="n"/>
      <c r="B48" s="22" t="n"/>
      <c r="C48" s="22" t="n"/>
      <c r="D48" s="25" t="n"/>
      <c r="E48" s="6" t="n"/>
      <c r="F48" s="8" t="n"/>
      <c r="G48" s="16" t="n"/>
      <c r="H48" s="79" t="n"/>
      <c r="I48" s="26" t="n"/>
    </row>
    <row r="49">
      <c r="A49" s="50" t="n"/>
      <c r="B49" s="22" t="n"/>
      <c r="C49" s="22" t="n"/>
      <c r="D49" s="25" t="n"/>
      <c r="E49" s="6" t="n"/>
      <c r="F49" s="8" t="n"/>
      <c r="G49" s="16" t="n"/>
      <c r="H49" s="79" t="n"/>
      <c r="I49" s="26" t="n"/>
    </row>
    <row r="50">
      <c r="A50" s="50" t="n"/>
      <c r="B50" s="22" t="n"/>
      <c r="C50" s="22" t="n"/>
      <c r="D50" s="25" t="n"/>
      <c r="E50" s="6" t="n"/>
      <c r="F50" s="8" t="n"/>
      <c r="G50" s="16" t="n"/>
      <c r="H50" s="79" t="n"/>
      <c r="I50" s="26" t="n"/>
    </row>
    <row r="51">
      <c r="A51" s="50" t="n"/>
      <c r="B51" s="22" t="n"/>
      <c r="C51" s="22" t="n"/>
      <c r="D51" s="25" t="n"/>
      <c r="E51" s="6" t="n"/>
      <c r="F51" s="8" t="n"/>
      <c r="G51" s="16" t="n"/>
      <c r="H51" s="79" t="n"/>
      <c r="I51" s="26" t="n"/>
    </row>
    <row r="52">
      <c r="A52" s="50" t="n"/>
      <c r="B52" s="22" t="n"/>
      <c r="C52" s="22" t="n"/>
      <c r="D52" s="25" t="n"/>
      <c r="E52" s="6" t="n"/>
      <c r="F52" s="8" t="n"/>
      <c r="G52" s="16" t="n"/>
      <c r="H52" s="79" t="n"/>
      <c r="I52" s="26" t="n"/>
    </row>
    <row r="53">
      <c r="A53" s="50" t="n"/>
      <c r="B53" s="22" t="n"/>
      <c r="C53" s="22" t="n"/>
      <c r="D53" s="25" t="n"/>
      <c r="E53" s="6" t="n"/>
      <c r="F53" s="8" t="n"/>
      <c r="G53" s="16" t="n"/>
      <c r="H53" s="79" t="n"/>
      <c r="I53" s="26" t="n"/>
    </row>
    <row r="54">
      <c r="A54" s="50" t="n"/>
      <c r="B54" s="22" t="n"/>
      <c r="C54" s="22" t="n"/>
      <c r="D54" s="25" t="n"/>
      <c r="E54" s="6" t="n"/>
      <c r="F54" s="8" t="n"/>
      <c r="G54" s="16" t="n"/>
      <c r="H54" s="79" t="n"/>
      <c r="I54" s="26" t="n"/>
    </row>
    <row r="55">
      <c r="A55" s="50" t="n"/>
      <c r="B55" s="22" t="n"/>
      <c r="C55" s="22" t="n"/>
      <c r="D55" s="25" t="n"/>
      <c r="E55" s="6" t="n"/>
      <c r="F55" s="8" t="n"/>
      <c r="G55" s="16" t="n"/>
      <c r="H55" s="79" t="n"/>
      <c r="I55" s="26" t="n"/>
    </row>
    <row r="56">
      <c r="A56" s="50" t="n"/>
      <c r="B56" s="22" t="n"/>
      <c r="C56" s="22" t="n"/>
      <c r="D56" s="25" t="n"/>
      <c r="E56" s="6" t="n"/>
      <c r="F56" s="8" t="n"/>
      <c r="G56" s="16" t="n"/>
      <c r="H56" s="79" t="n"/>
      <c r="I56" s="26" t="n"/>
    </row>
    <row r="57">
      <c r="A57" s="50" t="n"/>
      <c r="B57" s="22" t="n"/>
      <c r="C57" s="22" t="n"/>
      <c r="D57" s="25" t="n"/>
      <c r="E57" s="6" t="n"/>
      <c r="F57" s="8" t="n"/>
      <c r="G57" s="16" t="n"/>
      <c r="H57" s="79" t="n"/>
      <c r="I57" s="26" t="n"/>
    </row>
    <row r="58">
      <c r="A58" s="50" t="n"/>
      <c r="B58" s="22" t="n"/>
      <c r="C58" s="22" t="n"/>
      <c r="D58" s="25" t="n"/>
      <c r="E58" s="6" t="n"/>
      <c r="F58" s="8" t="n"/>
      <c r="G58" s="16" t="n"/>
      <c r="H58" s="79" t="n"/>
      <c r="I58" s="26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26" t="n"/>
    </row>
  </sheetData>
  <mergeCells count="5">
    <mergeCell ref="A5:C5"/>
    <mergeCell ref="A6:C6"/>
    <mergeCell ref="A3:C3"/>
    <mergeCell ref="A4:C4"/>
    <mergeCell ref="A2:C2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rgb="FF00B050"/>
    <outlinePr summaryBelow="1" summaryRight="1"/>
    <pageSetUpPr/>
  </sheetPr>
  <dimension ref="A1:AI59"/>
  <sheetViews>
    <sheetView workbookViewId="0">
      <selection activeCell="A1" sqref="A1"/>
    </sheetView>
  </sheetViews>
  <sheetFormatPr baseColWidth="8" defaultColWidth="9.140625" defaultRowHeight="15"/>
  <cols>
    <col width="3.140625" customWidth="1" style="1" min="1" max="1"/>
    <col width="4.28515625" customWidth="1" style="2" min="2" max="2"/>
    <col width="12.85546875" bestFit="1" customWidth="1" style="2" min="3" max="3"/>
    <col width="38.5703125" customWidth="1" style="1" min="4" max="4"/>
    <col width="5.7109375" customWidth="1" style="1" min="5" max="10"/>
    <col width="7.85546875" bestFit="1" customWidth="1" style="1" min="11" max="11"/>
    <col width="5.7109375" customWidth="1" style="1" min="12" max="15"/>
    <col width="7.140625" customWidth="1" style="1" min="16" max="16"/>
    <col width="5.7109375" customWidth="1" style="1" min="17" max="20"/>
    <col width="7.85546875" bestFit="1" customWidth="1" style="1" min="21" max="21"/>
    <col width="5.7109375" customWidth="1" style="1" min="22" max="25"/>
    <col width="7.85546875" bestFit="1" customWidth="1" style="1" min="26" max="26"/>
    <col width="13" customWidth="1" style="1" min="27" max="27"/>
    <col width="12.28515625" customWidth="1" style="1" min="28" max="28"/>
    <col width="11" customWidth="1" style="1" min="29" max="29"/>
    <col width="12.28515625" customWidth="1" style="1" min="30" max="30"/>
    <col width="8" customWidth="1" style="1" min="31" max="31"/>
    <col width="14.7109375" customWidth="1" style="1" min="32" max="32"/>
    <col width="10.5703125" customWidth="1" style="1" min="33" max="33"/>
    <col width="11.28515625" customWidth="1" style="1" min="34" max="34"/>
    <col width="23.5703125" customWidth="1" style="1" min="35" max="35"/>
    <col width="9.140625" customWidth="1" style="1" min="36" max="16384"/>
  </cols>
  <sheetData>
    <row r="1" ht="25.5" customHeight="1" thickBot="1">
      <c r="A1" s="26" t="n"/>
      <c r="B1" s="27" t="n"/>
      <c r="C1" s="28" t="inlineStr">
        <is>
          <t>Section:</t>
        </is>
      </c>
      <c r="D1" s="29" t="inlineStr">
        <is>
          <t>4E</t>
        </is>
      </c>
      <c r="E1" s="30" t="inlineStr">
        <is>
          <t>Attendance &amp; Effort Sheet</t>
        </is>
      </c>
      <c r="F1" s="26" t="n"/>
      <c r="G1" s="26" t="n"/>
      <c r="H1" s="26" t="n"/>
      <c r="I1" s="31" t="n"/>
      <c r="J1" s="31" t="n"/>
      <c r="K1" s="31" t="n"/>
      <c r="L1" s="31" t="n"/>
      <c r="M1" s="31" t="n"/>
      <c r="N1" s="32" t="n"/>
      <c r="O1" s="32" t="n"/>
      <c r="P1" s="65" t="inlineStr">
        <is>
          <t>P=Present</t>
        </is>
      </c>
      <c r="Q1" s="66" t="n"/>
      <c r="R1" s="66" t="n"/>
      <c r="S1" s="26" t="n"/>
      <c r="T1" s="26" t="n"/>
      <c r="U1" s="32" t="n"/>
      <c r="V1" s="32" t="n"/>
      <c r="W1" s="32" t="n"/>
      <c r="X1" s="32" t="n"/>
      <c r="Y1" s="32" t="n"/>
      <c r="Z1" s="32" t="n"/>
      <c r="AA1" s="33" t="n"/>
      <c r="AB1" s="26" t="n"/>
      <c r="AC1" s="26" t="n"/>
      <c r="AD1" s="26" t="n"/>
      <c r="AE1" s="26" t="n"/>
      <c r="AF1" s="33" t="n"/>
      <c r="AG1" s="26" t="n"/>
      <c r="AH1" s="26" t="n"/>
      <c r="AI1" s="26" t="n"/>
    </row>
    <row r="2" ht="24" customHeight="1">
      <c r="A2" s="89" t="inlineStr">
        <is>
          <t>Teacher Name:</t>
        </is>
      </c>
      <c r="B2" s="94" t="n"/>
      <c r="C2" s="95" t="n"/>
      <c r="D2" s="34" t="n"/>
      <c r="E2" s="35" t="inlineStr">
        <is>
          <t xml:space="preserve">Computing, Creative Design and Innovation </t>
        </is>
      </c>
      <c r="F2" s="26" t="n"/>
      <c r="G2" s="26" t="n"/>
      <c r="H2" s="26" t="n"/>
      <c r="I2" s="31" t="n"/>
      <c r="J2" s="31" t="n"/>
      <c r="K2" s="31" t="n"/>
      <c r="L2" s="31" t="n"/>
      <c r="M2" s="31" t="n"/>
      <c r="N2" s="32" t="n"/>
      <c r="O2" s="32" t="n"/>
      <c r="P2" s="67" t="inlineStr">
        <is>
          <t>A=Absent</t>
        </is>
      </c>
      <c r="Q2" s="68" t="n"/>
      <c r="R2" s="68" t="n"/>
      <c r="S2" s="26" t="n"/>
      <c r="T2" s="26" t="n"/>
      <c r="U2" s="36" t="n"/>
      <c r="V2" s="36" t="n"/>
      <c r="W2" s="36" t="n"/>
      <c r="X2" s="36" t="n"/>
      <c r="Y2" s="36" t="n"/>
      <c r="Z2" s="36" t="n"/>
      <c r="AA2" s="37" t="n"/>
      <c r="AB2" s="37" t="n"/>
      <c r="AC2" s="37" t="n"/>
      <c r="AD2" s="37" t="n"/>
      <c r="AE2" s="37" t="n"/>
      <c r="AF2" s="26" t="n"/>
      <c r="AG2" s="26" t="n"/>
      <c r="AH2" s="26" t="n"/>
      <c r="AI2" s="26" t="n"/>
    </row>
    <row r="3" ht="29.25" customHeight="1">
      <c r="A3" s="89" t="inlineStr">
        <is>
          <t>School ID:</t>
        </is>
      </c>
      <c r="B3" s="94" t="n"/>
      <c r="C3" s="95" t="n"/>
      <c r="D3" s="34" t="n"/>
      <c r="E3" s="38" t="inlineStr">
        <is>
          <t>Grade 4</t>
        </is>
      </c>
      <c r="F3" s="26" t="n"/>
      <c r="G3" s="26" t="n"/>
      <c r="H3" s="26" t="n"/>
      <c r="I3" s="26" t="n"/>
      <c r="J3" s="39" t="n"/>
      <c r="K3" s="31" t="n"/>
      <c r="L3" s="31" t="n"/>
      <c r="M3" s="31" t="n"/>
      <c r="N3" s="36" t="n"/>
      <c r="O3" s="36" t="n"/>
      <c r="P3" s="69" t="inlineStr">
        <is>
          <t>L=Late</t>
        </is>
      </c>
      <c r="Q3" s="70" t="n"/>
      <c r="R3" s="70" t="n"/>
      <c r="S3" s="26" t="n"/>
      <c r="T3" s="26" t="n"/>
      <c r="U3" s="36" t="n"/>
      <c r="V3" s="36" t="n"/>
      <c r="W3" s="36" t="n"/>
      <c r="X3" s="36" t="n"/>
      <c r="Y3" s="36" t="n"/>
      <c r="Z3" s="36" t="n"/>
      <c r="AA3" s="37" t="n"/>
      <c r="AB3" s="37" t="n"/>
      <c r="AC3" s="37" t="n"/>
      <c r="AD3" s="37" t="n"/>
      <c r="AE3" s="37" t="n"/>
      <c r="AF3" s="26" t="n"/>
      <c r="AG3" s="26" t="n"/>
      <c r="AH3" s="26" t="n"/>
      <c r="AI3" s="26" t="n"/>
    </row>
    <row r="4" ht="24.75" customHeight="1" thickBot="1">
      <c r="A4" s="89" t="inlineStr">
        <is>
          <t>School Name:</t>
        </is>
      </c>
      <c r="B4" s="94" t="n"/>
      <c r="C4" s="95" t="n"/>
      <c r="D4" s="34" t="n"/>
      <c r="E4" s="40" t="inlineStr">
        <is>
          <t>Term 2 - 2024/2025</t>
        </is>
      </c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41" t="n"/>
      <c r="AB4" s="41" t="n"/>
      <c r="AC4" s="41" t="n"/>
      <c r="AD4" s="41" t="n"/>
      <c r="AE4" s="41" t="n"/>
      <c r="AF4" s="41" t="n"/>
      <c r="AG4" s="41" t="n"/>
      <c r="AH4" s="26" t="n"/>
      <c r="AI4" s="26" t="n"/>
    </row>
    <row r="5" ht="23.25" customHeight="1">
      <c r="A5" s="89" t="inlineStr">
        <is>
          <t>Emirate/Area:</t>
        </is>
      </c>
      <c r="B5" s="94" t="n"/>
      <c r="C5" s="95" t="n"/>
      <c r="D5" s="34" t="n"/>
      <c r="E5" s="42" t="inlineStr">
        <is>
          <t>1. Student 'attendance' and 'effort' is part of the total of the School-Based mark. Please ensure that you record all attendance here.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5" t="n"/>
      <c r="AC5" s="45" t="n"/>
      <c r="AD5" s="45" t="n"/>
      <c r="AE5" s="45" t="n"/>
      <c r="AF5" s="45" t="n"/>
      <c r="AG5" s="45" t="n"/>
      <c r="AH5" s="45" t="n"/>
      <c r="AI5" s="45" t="n"/>
    </row>
    <row r="6" ht="24.75" customHeight="1">
      <c r="A6" s="89" t="inlineStr">
        <is>
          <t>Council:</t>
        </is>
      </c>
      <c r="B6" s="94" t="n"/>
      <c r="C6" s="95" t="n"/>
      <c r="D6" s="34" t="n"/>
      <c r="E6" s="46" t="inlineStr">
        <is>
          <t>2. Consult your principal for late/absent policy</t>
        </is>
      </c>
      <c r="F6" s="47" t="n"/>
      <c r="G6" s="47" t="n"/>
      <c r="H6" s="47" t="n"/>
      <c r="I6" s="47" t="n"/>
      <c r="J6" s="47" t="n"/>
      <c r="K6" s="47" t="n"/>
      <c r="L6" s="47" t="n"/>
      <c r="M6" s="47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26" t="n"/>
      <c r="AC6" s="26" t="n"/>
      <c r="AD6" s="26" t="n"/>
      <c r="AE6" s="26" t="n"/>
      <c r="AF6" s="26" t="n"/>
      <c r="AG6" s="26" t="n"/>
      <c r="AH6" s="26" t="n"/>
      <c r="AI6" s="26" t="n"/>
    </row>
    <row r="7" ht="18.75" customHeight="1">
      <c r="A7" s="32" t="n"/>
      <c r="B7" s="27" t="n"/>
      <c r="C7" s="48" t="n"/>
      <c r="D7" s="49" t="n"/>
      <c r="E7" s="82" t="inlineStr">
        <is>
          <t>Week 1</t>
        </is>
      </c>
      <c r="F7" s="96" t="n"/>
      <c r="G7" s="81" t="inlineStr">
        <is>
          <t>Week 2</t>
        </is>
      </c>
      <c r="H7" s="96" t="n"/>
      <c r="I7" s="82" t="inlineStr">
        <is>
          <t>Week 3</t>
        </is>
      </c>
      <c r="J7" s="96" t="n"/>
      <c r="K7" s="20" t="inlineStr">
        <is>
          <t>Effort</t>
        </is>
      </c>
      <c r="L7" s="81" t="inlineStr">
        <is>
          <t>Week 4</t>
        </is>
      </c>
      <c r="M7" s="96" t="n"/>
      <c r="N7" s="82" t="inlineStr">
        <is>
          <t>Week 5</t>
        </is>
      </c>
      <c r="O7" s="96" t="n"/>
      <c r="P7" s="20" t="inlineStr">
        <is>
          <t>Effort</t>
        </is>
      </c>
      <c r="Q7" s="81" t="inlineStr">
        <is>
          <t>Week 6</t>
        </is>
      </c>
      <c r="R7" s="96" t="n"/>
      <c r="S7" s="82" t="inlineStr">
        <is>
          <t>Week 7</t>
        </is>
      </c>
      <c r="T7" s="96" t="n"/>
      <c r="U7" s="20" t="inlineStr">
        <is>
          <t>Effort</t>
        </is>
      </c>
      <c r="V7" s="81" t="inlineStr">
        <is>
          <t>Week 8</t>
        </is>
      </c>
      <c r="W7" s="96" t="n"/>
      <c r="X7" s="82" t="inlineStr">
        <is>
          <t>Week 9</t>
        </is>
      </c>
      <c r="Y7" s="96" t="n"/>
      <c r="Z7" s="20" t="inlineStr">
        <is>
          <t>Effort</t>
        </is>
      </c>
      <c r="AA7" s="20" t="inlineStr">
        <is>
          <t>Avg</t>
        </is>
      </c>
      <c r="AB7" s="26" t="n"/>
      <c r="AC7" s="26" t="n"/>
      <c r="AD7" s="26" t="n"/>
      <c r="AE7" s="26" t="n"/>
      <c r="AF7" s="26" t="n"/>
      <c r="AG7" s="26" t="n"/>
      <c r="AH7" s="26" t="n"/>
      <c r="AI7" s="26" t="n"/>
    </row>
    <row r="8" ht="50.25" customHeight="1">
      <c r="A8" s="26" t="n"/>
      <c r="B8" s="51" t="inlineStr">
        <is>
          <t>No</t>
        </is>
      </c>
      <c r="C8" s="51" t="inlineStr">
        <is>
          <t>Student #</t>
        </is>
      </c>
      <c r="D8" s="52" t="inlineStr">
        <is>
          <t>Student Name</t>
        </is>
      </c>
      <c r="E8" s="85" t="n">
        <v>45663</v>
      </c>
      <c r="F8" s="96" t="n"/>
      <c r="G8" s="85" t="n">
        <v>45670</v>
      </c>
      <c r="H8" s="96" t="n"/>
      <c r="I8" s="85" t="n">
        <v>45677</v>
      </c>
      <c r="J8" s="96" t="n"/>
      <c r="K8" s="24" t="inlineStr">
        <is>
          <t>10M</t>
        </is>
      </c>
      <c r="L8" s="85" t="n">
        <v>45684</v>
      </c>
      <c r="M8" s="96" t="n"/>
      <c r="N8" s="85" t="n">
        <v>45691</v>
      </c>
      <c r="O8" s="96" t="n"/>
      <c r="P8" s="24" t="inlineStr">
        <is>
          <t>10M</t>
        </is>
      </c>
      <c r="Q8" s="85" t="n">
        <v>45698</v>
      </c>
      <c r="R8" s="96" t="n"/>
      <c r="S8" s="85" t="n">
        <v>45705</v>
      </c>
      <c r="T8" s="96" t="n"/>
      <c r="U8" s="24" t="inlineStr">
        <is>
          <t>10M</t>
        </is>
      </c>
      <c r="V8" s="85" t="n">
        <v>45712</v>
      </c>
      <c r="W8" s="96" t="n"/>
      <c r="X8" s="85" t="n">
        <v>45719</v>
      </c>
      <c r="Y8" s="96" t="n"/>
      <c r="Z8" s="24" t="inlineStr">
        <is>
          <t>10M</t>
        </is>
      </c>
      <c r="AA8" s="21" t="inlineStr">
        <is>
          <t>Effort</t>
        </is>
      </c>
      <c r="AB8" s="71" t="inlineStr">
        <is>
          <t>#Present</t>
        </is>
      </c>
      <c r="AC8" s="72" t="inlineStr">
        <is>
          <t>#Late</t>
        </is>
      </c>
      <c r="AD8" s="72" t="inlineStr">
        <is>
          <t>#Absence</t>
        </is>
      </c>
      <c r="AE8" s="73" t="inlineStr">
        <is>
          <t>Tot Att</t>
        </is>
      </c>
      <c r="AF8" s="73" t="inlineStr">
        <is>
          <t>Attendance Mark (10)</t>
        </is>
      </c>
      <c r="AG8" s="73" t="inlineStr">
        <is>
          <t>Effort Mark (10)</t>
        </is>
      </c>
      <c r="AH8" s="73" t="inlineStr">
        <is>
          <t>Total Marks (20)</t>
        </is>
      </c>
      <c r="AI8" s="74" t="inlineStr">
        <is>
          <t>Comments</t>
        </is>
      </c>
    </row>
    <row r="9">
      <c r="A9" s="50" t="n"/>
      <c r="B9" s="4" t="n">
        <v>1</v>
      </c>
      <c r="C9" s="4" t="n">
        <v>1</v>
      </c>
      <c r="D9" s="7" t="inlineStr">
        <is>
          <t>أفراح محمد غازي عبده أحمد</t>
        </is>
      </c>
      <c r="E9" s="15" t="inlineStr">
        <is>
          <t>NA</t>
        </is>
      </c>
      <c r="F9" s="15" t="inlineStr">
        <is>
          <t>NA</t>
        </is>
      </c>
      <c r="G9" s="4" t="inlineStr">
        <is>
          <t>P</t>
        </is>
      </c>
      <c r="H9" s="4" t="inlineStr">
        <is>
          <t>P</t>
        </is>
      </c>
      <c r="I9" s="4" t="inlineStr">
        <is>
          <t>P</t>
        </is>
      </c>
      <c r="J9" s="4" t="inlineStr">
        <is>
          <t>P</t>
        </is>
      </c>
      <c r="K9" s="9" t="n">
        <v>10</v>
      </c>
      <c r="L9" s="4" t="inlineStr">
        <is>
          <t>P</t>
        </is>
      </c>
      <c r="M9" s="4" t="inlineStr">
        <is>
          <t>P</t>
        </is>
      </c>
      <c r="N9" s="4" t="inlineStr">
        <is>
          <t>P</t>
        </is>
      </c>
      <c r="O9" s="4" t="inlineStr">
        <is>
          <t>P</t>
        </is>
      </c>
      <c r="P9" s="9" t="n">
        <v>10</v>
      </c>
      <c r="Q9" s="4" t="inlineStr">
        <is>
          <t>P</t>
        </is>
      </c>
      <c r="R9" s="4" t="inlineStr">
        <is>
          <t>P</t>
        </is>
      </c>
      <c r="S9" s="4" t="inlineStr">
        <is>
          <t>P</t>
        </is>
      </c>
      <c r="T9" s="4" t="inlineStr">
        <is>
          <t>P</t>
        </is>
      </c>
      <c r="U9" s="9" t="n">
        <v>10</v>
      </c>
      <c r="V9" s="4" t="inlineStr">
        <is>
          <t>P</t>
        </is>
      </c>
      <c r="W9" s="4" t="inlineStr">
        <is>
          <t>P</t>
        </is>
      </c>
      <c r="X9" s="4" t="inlineStr">
        <is>
          <t>P</t>
        </is>
      </c>
      <c r="Y9" s="4" t="inlineStr">
        <is>
          <t>P</t>
        </is>
      </c>
      <c r="Z9" s="9" t="n">
        <v>10</v>
      </c>
      <c r="AA9" s="10">
        <f>AVERAGE(K9,P9,U9,Z9)</f>
        <v/>
      </c>
      <c r="AB9" s="11">
        <f>COUNTIF(G9:Z9,"P")</f>
        <v/>
      </c>
      <c r="AC9" s="12">
        <f>COUNTIF(G9:Z9,"L")</f>
        <v/>
      </c>
      <c r="AD9" s="13">
        <f>COUNTIF(G9:Z9,"A")</f>
        <v/>
      </c>
      <c r="AE9" s="14">
        <f>AB9+AC9</f>
        <v/>
      </c>
      <c r="AF9" s="8">
        <f>AE9/16*10</f>
        <v/>
      </c>
      <c r="AG9" s="8">
        <f>AA9</f>
        <v/>
      </c>
      <c r="AH9" s="8" t="n">
        <v>20</v>
      </c>
      <c r="AI9" s="5" t="inlineStr">
        <is>
          <t>Excellent work and effort</t>
        </is>
      </c>
    </row>
    <row r="10">
      <c r="A10" s="50" t="n"/>
      <c r="B10" s="4" t="n">
        <v>2</v>
      </c>
      <c r="C10" s="4" t="n">
        <v>2</v>
      </c>
      <c r="D10" s="7" t="inlineStr">
        <is>
          <t>حامد احمد سالم حميد الريسى</t>
        </is>
      </c>
      <c r="E10" s="15" t="inlineStr">
        <is>
          <t>NA</t>
        </is>
      </c>
      <c r="F10" s="15" t="inlineStr">
        <is>
          <t>NA</t>
        </is>
      </c>
      <c r="G10" s="4" t="inlineStr">
        <is>
          <t>P</t>
        </is>
      </c>
      <c r="H10" s="4" t="inlineStr">
        <is>
          <t>P</t>
        </is>
      </c>
      <c r="I10" s="4" t="inlineStr">
        <is>
          <t>P</t>
        </is>
      </c>
      <c r="J10" s="4" t="inlineStr">
        <is>
          <t>P</t>
        </is>
      </c>
      <c r="K10" s="9" t="n">
        <v>10</v>
      </c>
      <c r="L10" s="4" t="inlineStr">
        <is>
          <t>A</t>
        </is>
      </c>
      <c r="M10" s="4" t="inlineStr">
        <is>
          <t>A</t>
        </is>
      </c>
      <c r="N10" s="4" t="inlineStr">
        <is>
          <t>L</t>
        </is>
      </c>
      <c r="O10" s="4" t="inlineStr">
        <is>
          <t>P</t>
        </is>
      </c>
      <c r="P10" s="9" t="n">
        <v>10</v>
      </c>
      <c r="Q10" s="4" t="inlineStr">
        <is>
          <t>P</t>
        </is>
      </c>
      <c r="R10" s="4" t="inlineStr">
        <is>
          <t>P</t>
        </is>
      </c>
      <c r="S10" s="4" t="inlineStr">
        <is>
          <t>P</t>
        </is>
      </c>
      <c r="T10" s="4" t="inlineStr">
        <is>
          <t>P</t>
        </is>
      </c>
      <c r="U10" s="9" t="n">
        <v>10</v>
      </c>
      <c r="V10" s="4" t="inlineStr">
        <is>
          <t>P</t>
        </is>
      </c>
      <c r="W10" s="4" t="inlineStr">
        <is>
          <t>P</t>
        </is>
      </c>
      <c r="X10" s="4" t="inlineStr">
        <is>
          <t>P</t>
        </is>
      </c>
      <c r="Y10" s="4" t="inlineStr">
        <is>
          <t>P</t>
        </is>
      </c>
      <c r="Z10" s="9" t="n">
        <v>10</v>
      </c>
      <c r="AA10" s="10">
        <f>AVERAGE(K10,P10,U10,Z10)</f>
        <v/>
      </c>
      <c r="AB10" s="11">
        <f>COUNTIF(G10:Z10,"P")</f>
        <v/>
      </c>
      <c r="AC10" s="12">
        <f>COUNTIF(G10:Z10,"L")</f>
        <v/>
      </c>
      <c r="AD10" s="13">
        <f>COUNTIF(G10:Z10,"A")</f>
        <v/>
      </c>
      <c r="AE10" s="14">
        <f>AB10+AC10</f>
        <v/>
      </c>
      <c r="AF10" s="8">
        <f>AE10/16*10</f>
        <v/>
      </c>
      <c r="AG10" s="8">
        <f>AA10</f>
        <v/>
      </c>
      <c r="AH10" s="8" t="n">
        <v>19</v>
      </c>
      <c r="AI10" s="5" t="n"/>
    </row>
    <row r="11">
      <c r="A11" s="50" t="n"/>
      <c r="B11" s="4" t="n">
        <v>3</v>
      </c>
      <c r="C11" s="4" t="n">
        <v>3</v>
      </c>
      <c r="D11" s="7" t="inlineStr">
        <is>
          <t>حامد يوسف مفتاح حمدان الزستاقي</t>
        </is>
      </c>
      <c r="E11" s="15" t="inlineStr">
        <is>
          <t>NA</t>
        </is>
      </c>
      <c r="F11" s="15" t="inlineStr">
        <is>
          <t>NA</t>
        </is>
      </c>
      <c r="G11" s="4" t="inlineStr">
        <is>
          <t>P</t>
        </is>
      </c>
      <c r="H11" s="4" t="inlineStr">
        <is>
          <t>P</t>
        </is>
      </c>
      <c r="I11" s="4" t="inlineStr">
        <is>
          <t>P</t>
        </is>
      </c>
      <c r="J11" s="4" t="inlineStr">
        <is>
          <t>A</t>
        </is>
      </c>
      <c r="K11" s="9" t="n">
        <v>5</v>
      </c>
      <c r="L11" s="4" t="inlineStr">
        <is>
          <t>A</t>
        </is>
      </c>
      <c r="M11" s="4" t="inlineStr">
        <is>
          <t>A</t>
        </is>
      </c>
      <c r="N11" s="4" t="inlineStr">
        <is>
          <t>P</t>
        </is>
      </c>
      <c r="O11" s="4" t="inlineStr">
        <is>
          <t>P</t>
        </is>
      </c>
      <c r="P11" s="9" t="n">
        <v>5</v>
      </c>
      <c r="Q11" s="4" t="inlineStr">
        <is>
          <t>a</t>
        </is>
      </c>
      <c r="R11" s="4" t="inlineStr">
        <is>
          <t>A</t>
        </is>
      </c>
      <c r="S11" s="4" t="inlineStr">
        <is>
          <t>P</t>
        </is>
      </c>
      <c r="T11" s="4" t="inlineStr">
        <is>
          <t>P</t>
        </is>
      </c>
      <c r="U11" s="9" t="n">
        <v>5</v>
      </c>
      <c r="V11" s="4" t="inlineStr">
        <is>
          <t>a</t>
        </is>
      </c>
      <c r="W11" s="4" t="inlineStr">
        <is>
          <t>A</t>
        </is>
      </c>
      <c r="X11" s="4" t="inlineStr">
        <is>
          <t>a</t>
        </is>
      </c>
      <c r="Y11" s="4" t="inlineStr">
        <is>
          <t>a</t>
        </is>
      </c>
      <c r="Z11" s="9" t="n">
        <v>5</v>
      </c>
      <c r="AA11" s="10">
        <f>AVERAGE(K11,P11,U11,Z11)</f>
        <v/>
      </c>
      <c r="AB11" s="11">
        <f>COUNTIF(G11:Z11,"P")</f>
        <v/>
      </c>
      <c r="AC11" s="12">
        <f>COUNTIF(G11:Z11,"L")</f>
        <v/>
      </c>
      <c r="AD11" s="13">
        <f>COUNTIF(G11:Z11,"A")</f>
        <v/>
      </c>
      <c r="AE11" s="14">
        <f>AB11+AC11</f>
        <v/>
      </c>
      <c r="AF11" s="8">
        <f>AE11/16*10</f>
        <v/>
      </c>
      <c r="AG11" s="8">
        <f>AA11</f>
        <v/>
      </c>
      <c r="AH11" s="8" t="n">
        <v>19</v>
      </c>
      <c r="AI11" s="5" t="n"/>
    </row>
    <row r="12">
      <c r="A12" s="50" t="n"/>
      <c r="B12" s="4" t="n">
        <v>4</v>
      </c>
      <c r="C12" s="4" t="n">
        <v>4</v>
      </c>
      <c r="D12" s="7" t="inlineStr">
        <is>
          <t>حصه خالد حمد على الغفيلى</t>
        </is>
      </c>
      <c r="E12" s="15" t="inlineStr">
        <is>
          <t>NA</t>
        </is>
      </c>
      <c r="F12" s="15" t="inlineStr">
        <is>
          <t>NA</t>
        </is>
      </c>
      <c r="G12" s="4" t="n"/>
      <c r="H12" s="4" t="n"/>
      <c r="I12" s="4" t="n"/>
      <c r="J12" s="4" t="n"/>
      <c r="K12" s="9" t="n">
        <v>0</v>
      </c>
      <c r="L12" s="4" t="n"/>
      <c r="M12" s="4" t="n"/>
      <c r="N12" s="4" t="n"/>
      <c r="O12" s="4" t="n"/>
      <c r="P12" s="9" t="n">
        <v>0</v>
      </c>
      <c r="Q12" s="4" t="n"/>
      <c r="R12" s="4" t="n"/>
      <c r="S12" s="4" t="n"/>
      <c r="T12" s="4" t="n"/>
      <c r="U12" s="9" t="n">
        <v>0</v>
      </c>
      <c r="V12" s="4" t="n"/>
      <c r="W12" s="4" t="n"/>
      <c r="X12" s="4" t="n"/>
      <c r="Y12" s="4" t="n"/>
      <c r="Z12" s="9" t="n">
        <v>0</v>
      </c>
      <c r="AA12" s="10">
        <f>AVERAGE(K12,P12,U12,Z12)</f>
        <v/>
      </c>
      <c r="AB12" s="11">
        <f>COUNTIF(G12:Z12,"P")</f>
        <v/>
      </c>
      <c r="AC12" s="12">
        <f>COUNTIF(G12:Z12,"L")</f>
        <v/>
      </c>
      <c r="AD12" s="13">
        <f>COUNTIF(G12:Z12,"A")</f>
        <v/>
      </c>
      <c r="AE12" s="14">
        <f>AB12+AC12</f>
        <v/>
      </c>
      <c r="AF12" s="8">
        <f>AE12/16*10</f>
        <v/>
      </c>
      <c r="AG12" s="8">
        <f>AA12</f>
        <v/>
      </c>
      <c r="AH12" s="8" t="n">
        <v>18</v>
      </c>
      <c r="AI12" s="5" t="n"/>
    </row>
    <row r="13">
      <c r="A13" s="50" t="n"/>
      <c r="B13" s="4" t="n">
        <v>5</v>
      </c>
      <c r="C13" s="4" t="n">
        <v>5</v>
      </c>
      <c r="D13" s="7" t="inlineStr">
        <is>
          <t>حمدان طلال ربيع عيد الريسي</t>
        </is>
      </c>
      <c r="E13" s="15" t="inlineStr">
        <is>
          <t>NA</t>
        </is>
      </c>
      <c r="F13" s="15" t="inlineStr">
        <is>
          <t>NA</t>
        </is>
      </c>
      <c r="G13" s="4" t="n"/>
      <c r="H13" s="4" t="n"/>
      <c r="I13" s="4" t="n"/>
      <c r="J13" s="4" t="n"/>
      <c r="K13" s="9" t="n">
        <v>0</v>
      </c>
      <c r="L13" s="4" t="n"/>
      <c r="M13" s="4" t="n"/>
      <c r="N13" s="4" t="n"/>
      <c r="O13" s="4" t="n"/>
      <c r="P13" s="9" t="n">
        <v>0</v>
      </c>
      <c r="Q13" s="4" t="n"/>
      <c r="R13" s="4" t="n"/>
      <c r="S13" s="4" t="n"/>
      <c r="T13" s="4" t="n"/>
      <c r="U13" s="9" t="n">
        <v>0</v>
      </c>
      <c r="V13" s="4" t="n"/>
      <c r="W13" s="4" t="n"/>
      <c r="X13" s="4" t="n"/>
      <c r="Y13" s="4" t="n"/>
      <c r="Z13" s="9" t="n">
        <v>0</v>
      </c>
      <c r="AA13" s="10">
        <f>AVERAGE(K13,P13,U13,Z13)</f>
        <v/>
      </c>
      <c r="AB13" s="11">
        <f>COUNTIF(G13:Z13,"P")</f>
        <v/>
      </c>
      <c r="AC13" s="12">
        <f>COUNTIF(G13:Z13,"L")</f>
        <v/>
      </c>
      <c r="AD13" s="13">
        <f>COUNTIF(G13:Z13,"A")</f>
        <v/>
      </c>
      <c r="AE13" s="14">
        <f>AB13+AC13</f>
        <v/>
      </c>
      <c r="AF13" s="8">
        <f>AE13/16*10</f>
        <v/>
      </c>
      <c r="AG13" s="8">
        <f>AA13</f>
        <v/>
      </c>
      <c r="AH13" s="8" t="n">
        <v>18</v>
      </c>
      <c r="AI13" s="5" t="n"/>
    </row>
    <row r="14">
      <c r="A14" s="50" t="n"/>
      <c r="B14" s="4" t="n">
        <v>6</v>
      </c>
      <c r="C14" s="4" t="n">
        <v>6</v>
      </c>
      <c r="D14" s="7" t="inlineStr">
        <is>
          <t>حمود محمد حمود عبدالله الكعبي</t>
        </is>
      </c>
      <c r="E14" s="15" t="inlineStr">
        <is>
          <t>NA</t>
        </is>
      </c>
      <c r="F14" s="15" t="inlineStr">
        <is>
          <t>NA</t>
        </is>
      </c>
      <c r="G14" s="4" t="n"/>
      <c r="H14" s="4" t="n"/>
      <c r="I14" s="4" t="n"/>
      <c r="J14" s="4" t="n"/>
      <c r="K14" s="9" t="n">
        <v>0</v>
      </c>
      <c r="L14" s="4" t="n"/>
      <c r="M14" s="4" t="n"/>
      <c r="N14" s="4" t="n"/>
      <c r="O14" s="4" t="n"/>
      <c r="P14" s="9" t="n">
        <v>0</v>
      </c>
      <c r="Q14" s="4" t="n"/>
      <c r="R14" s="4" t="n"/>
      <c r="S14" s="4" t="n"/>
      <c r="T14" s="4" t="n"/>
      <c r="U14" s="9" t="n">
        <v>0</v>
      </c>
      <c r="V14" s="4" t="n"/>
      <c r="W14" s="4" t="n"/>
      <c r="X14" s="4" t="n"/>
      <c r="Y14" s="4" t="n"/>
      <c r="Z14" s="9" t="n">
        <v>0</v>
      </c>
      <c r="AA14" s="10">
        <f>AVERAGE(K14,P14,U14,Z14)</f>
        <v/>
      </c>
      <c r="AB14" s="11">
        <f>COUNTIF(G14:Z14,"P")</f>
        <v/>
      </c>
      <c r="AC14" s="12">
        <f>COUNTIF(G14:Z14,"L")</f>
        <v/>
      </c>
      <c r="AD14" s="13">
        <f>COUNTIF(G14:Z14,"A")</f>
        <v/>
      </c>
      <c r="AE14" s="14">
        <f>AB14+AC14</f>
        <v/>
      </c>
      <c r="AF14" s="8">
        <f>AE14/16*10</f>
        <v/>
      </c>
      <c r="AG14" s="8">
        <f>AA14</f>
        <v/>
      </c>
      <c r="AH14" s="8" t="n">
        <v>20</v>
      </c>
      <c r="AI14" s="5" t="n"/>
    </row>
    <row r="15">
      <c r="A15" s="50" t="n"/>
      <c r="B15" s="4" t="n">
        <v>7</v>
      </c>
      <c r="C15" s="4" t="n">
        <v>7</v>
      </c>
      <c r="D15" s="7" t="inlineStr">
        <is>
          <t>دانه هيثم سالم البرك العامري</t>
        </is>
      </c>
      <c r="E15" s="15" t="inlineStr">
        <is>
          <t>NA</t>
        </is>
      </c>
      <c r="F15" s="15" t="inlineStr">
        <is>
          <t>NA</t>
        </is>
      </c>
      <c r="G15" s="4" t="n"/>
      <c r="H15" s="4" t="n"/>
      <c r="I15" s="4" t="n"/>
      <c r="J15" s="4" t="n"/>
      <c r="K15" s="9" t="n">
        <v>0</v>
      </c>
      <c r="L15" s="4" t="n"/>
      <c r="M15" s="4" t="n"/>
      <c r="N15" s="4" t="n"/>
      <c r="O15" s="4" t="n"/>
      <c r="P15" s="9" t="n">
        <v>0</v>
      </c>
      <c r="Q15" s="4" t="n"/>
      <c r="R15" s="4" t="n"/>
      <c r="S15" s="4" t="n"/>
      <c r="T15" s="4" t="n"/>
      <c r="U15" s="9" t="n">
        <v>0</v>
      </c>
      <c r="V15" s="4" t="n"/>
      <c r="W15" s="4" t="n"/>
      <c r="X15" s="4" t="n"/>
      <c r="Y15" s="4" t="n"/>
      <c r="Z15" s="9" t="n">
        <v>0</v>
      </c>
      <c r="AA15" s="10">
        <f>AVERAGE(K15,P15,U15,Z15)</f>
        <v/>
      </c>
      <c r="AB15" s="11">
        <f>COUNTIF(G15:Z15,"P")</f>
        <v/>
      </c>
      <c r="AC15" s="12">
        <f>COUNTIF(G15:Z15,"L")</f>
        <v/>
      </c>
      <c r="AD15" s="13">
        <f>COUNTIF(G15:Z15,"A")</f>
        <v/>
      </c>
      <c r="AE15" s="14">
        <f>AB15+AC15</f>
        <v/>
      </c>
      <c r="AF15" s="8">
        <f>AE15/16*10</f>
        <v/>
      </c>
      <c r="AG15" s="8">
        <f>AA15</f>
        <v/>
      </c>
      <c r="AH15" s="8" t="n">
        <v>18</v>
      </c>
      <c r="AI15" s="5" t="n"/>
    </row>
    <row r="16">
      <c r="A16" s="50" t="n"/>
      <c r="B16" s="4" t="n">
        <v>8</v>
      </c>
      <c r="C16" s="4" t="n">
        <v>8</v>
      </c>
      <c r="D16" s="7" t="inlineStr">
        <is>
          <t>راشد سعد عليان حمدان الشامسى</t>
        </is>
      </c>
      <c r="E16" s="15" t="inlineStr">
        <is>
          <t>NA</t>
        </is>
      </c>
      <c r="F16" s="15" t="inlineStr">
        <is>
          <t>NA</t>
        </is>
      </c>
      <c r="G16" s="4" t="n"/>
      <c r="H16" s="4" t="n"/>
      <c r="I16" s="4" t="n"/>
      <c r="J16" s="4" t="n"/>
      <c r="K16" s="9" t="n">
        <v>0</v>
      </c>
      <c r="L16" s="4" t="n"/>
      <c r="M16" s="4" t="n"/>
      <c r="N16" s="4" t="n"/>
      <c r="O16" s="4" t="n"/>
      <c r="P16" s="9" t="n">
        <v>0</v>
      </c>
      <c r="Q16" s="4" t="n"/>
      <c r="R16" s="4" t="n"/>
      <c r="S16" s="4" t="n"/>
      <c r="T16" s="4" t="n"/>
      <c r="U16" s="9" t="n">
        <v>0</v>
      </c>
      <c r="V16" s="4" t="n"/>
      <c r="W16" s="4" t="n"/>
      <c r="X16" s="4" t="n"/>
      <c r="Y16" s="4" t="n"/>
      <c r="Z16" s="9" t="n">
        <v>0</v>
      </c>
      <c r="AA16" s="10">
        <f>AVERAGE(K16,P16,U16,Z16)</f>
        <v/>
      </c>
      <c r="AB16" s="11">
        <f>COUNTIF(G16:Z16,"P")</f>
        <v/>
      </c>
      <c r="AC16" s="12">
        <f>COUNTIF(G16:Z16,"L")</f>
        <v/>
      </c>
      <c r="AD16" s="13">
        <f>COUNTIF(G16:Z16,"A")</f>
        <v/>
      </c>
      <c r="AE16" s="14">
        <f>AB16+AC16</f>
        <v/>
      </c>
      <c r="AF16" s="8">
        <f>AE16/16*10</f>
        <v/>
      </c>
      <c r="AG16" s="8">
        <f>AA16</f>
        <v/>
      </c>
      <c r="AH16" s="8" t="n">
        <v>20</v>
      </c>
      <c r="AI16" s="5" t="n"/>
    </row>
    <row r="17">
      <c r="A17" s="50" t="n"/>
      <c r="B17" s="4" t="n">
        <v>9</v>
      </c>
      <c r="C17" s="4" t="n">
        <v>9</v>
      </c>
      <c r="D17" s="7" t="inlineStr">
        <is>
          <t>راشد عبدالعزيز مسعود زايد الحراصى</t>
        </is>
      </c>
      <c r="E17" s="15" t="inlineStr">
        <is>
          <t>NA</t>
        </is>
      </c>
      <c r="F17" s="15" t="inlineStr">
        <is>
          <t>NA</t>
        </is>
      </c>
      <c r="G17" s="4" t="n"/>
      <c r="H17" s="4" t="n"/>
      <c r="I17" s="4" t="n"/>
      <c r="J17" s="4" t="n"/>
      <c r="K17" s="9" t="n">
        <v>0</v>
      </c>
      <c r="L17" s="4" t="n"/>
      <c r="M17" s="4" t="n"/>
      <c r="N17" s="4" t="n"/>
      <c r="O17" s="4" t="n"/>
      <c r="P17" s="9" t="n">
        <v>0</v>
      </c>
      <c r="Q17" s="4" t="n"/>
      <c r="R17" s="4" t="n"/>
      <c r="S17" s="4" t="n"/>
      <c r="T17" s="4" t="n"/>
      <c r="U17" s="9" t="n">
        <v>0</v>
      </c>
      <c r="V17" s="4" t="n"/>
      <c r="W17" s="4" t="n"/>
      <c r="X17" s="4" t="n"/>
      <c r="Y17" s="4" t="n"/>
      <c r="Z17" s="9" t="n">
        <v>0</v>
      </c>
      <c r="AA17" s="10">
        <f>AVERAGE(K17,P17,U17,Z17)</f>
        <v/>
      </c>
      <c r="AB17" s="11">
        <f>COUNTIF(G17:Z17,"P")</f>
        <v/>
      </c>
      <c r="AC17" s="12">
        <f>COUNTIF(G17:Z17,"L")</f>
        <v/>
      </c>
      <c r="AD17" s="13">
        <f>COUNTIF(G17:Z17,"A")</f>
        <v/>
      </c>
      <c r="AE17" s="14">
        <f>AB17+AC17</f>
        <v/>
      </c>
      <c r="AF17" s="8">
        <f>AE17/16*10</f>
        <v/>
      </c>
      <c r="AG17" s="8">
        <f>AA17</f>
        <v/>
      </c>
      <c r="AH17" s="8" t="n">
        <v>20</v>
      </c>
      <c r="AI17" s="5" t="n"/>
    </row>
    <row r="18">
      <c r="A18" s="50" t="n"/>
      <c r="B18" s="4" t="n">
        <v>10</v>
      </c>
      <c r="C18" s="4" t="n">
        <v>10</v>
      </c>
      <c r="D18" s="7" t="inlineStr">
        <is>
          <t>ساره زايد عبدالله علي عوض</t>
        </is>
      </c>
      <c r="E18" s="15" t="inlineStr">
        <is>
          <t>NA</t>
        </is>
      </c>
      <c r="F18" s="15" t="inlineStr">
        <is>
          <t>NA</t>
        </is>
      </c>
      <c r="G18" s="4" t="n"/>
      <c r="H18" s="4" t="n"/>
      <c r="I18" s="4" t="n"/>
      <c r="J18" s="4" t="n"/>
      <c r="K18" s="9" t="n">
        <v>0</v>
      </c>
      <c r="L18" s="4" t="n"/>
      <c r="M18" s="4" t="n"/>
      <c r="N18" s="4" t="n"/>
      <c r="O18" s="4" t="n"/>
      <c r="P18" s="9" t="n">
        <v>0</v>
      </c>
      <c r="Q18" s="4" t="n"/>
      <c r="R18" s="4" t="n"/>
      <c r="S18" s="4" t="n"/>
      <c r="T18" s="4" t="n"/>
      <c r="U18" s="9" t="n">
        <v>0</v>
      </c>
      <c r="V18" s="4" t="n"/>
      <c r="W18" s="4" t="n"/>
      <c r="X18" s="4" t="n"/>
      <c r="Y18" s="4" t="n"/>
      <c r="Z18" s="9" t="n">
        <v>0</v>
      </c>
      <c r="AA18" s="10">
        <f>AVERAGE(K18,P18,U18,Z18)</f>
        <v/>
      </c>
      <c r="AB18" s="11">
        <f>COUNTIF(G18:Z18,"P")</f>
        <v/>
      </c>
      <c r="AC18" s="12">
        <f>COUNTIF(G18:Z18,"L")</f>
        <v/>
      </c>
      <c r="AD18" s="13">
        <f>COUNTIF(G18:Z18,"A")</f>
        <v/>
      </c>
      <c r="AE18" s="14">
        <f>AB18+AC18</f>
        <v/>
      </c>
      <c r="AF18" s="8">
        <f>AE18/16*10</f>
        <v/>
      </c>
      <c r="AG18" s="8">
        <f>AA18</f>
        <v/>
      </c>
      <c r="AH18" s="8" t="n">
        <v>18</v>
      </c>
      <c r="AI18" s="5" t="n"/>
    </row>
    <row r="19">
      <c r="A19" s="50" t="n"/>
      <c r="B19" s="4" t="n">
        <v>11</v>
      </c>
      <c r="C19" s="4" t="n">
        <v>11</v>
      </c>
      <c r="D19" s="7" t="inlineStr">
        <is>
          <t>ساره وراث ولي محمد غلام محمد</t>
        </is>
      </c>
      <c r="E19" s="15" t="inlineStr">
        <is>
          <t>NA</t>
        </is>
      </c>
      <c r="F19" s="15" t="inlineStr">
        <is>
          <t>NA</t>
        </is>
      </c>
      <c r="G19" s="4" t="n"/>
      <c r="H19" s="4" t="n"/>
      <c r="I19" s="4" t="n"/>
      <c r="J19" s="4" t="n"/>
      <c r="K19" s="9" t="n">
        <v>0</v>
      </c>
      <c r="L19" s="4" t="n"/>
      <c r="M19" s="4" t="n"/>
      <c r="N19" s="4" t="n"/>
      <c r="O19" s="4" t="n"/>
      <c r="P19" s="9" t="n">
        <v>0</v>
      </c>
      <c r="Q19" s="4" t="n"/>
      <c r="R19" s="4" t="n"/>
      <c r="S19" s="4" t="n"/>
      <c r="T19" s="4" t="n"/>
      <c r="U19" s="9" t="n">
        <v>0</v>
      </c>
      <c r="V19" s="4" t="n"/>
      <c r="W19" s="4" t="n"/>
      <c r="X19" s="4" t="n"/>
      <c r="Y19" s="4" t="n"/>
      <c r="Z19" s="9" t="n">
        <v>0</v>
      </c>
      <c r="AA19" s="10">
        <f>AVERAGE(K19,P19,U19,Z19)</f>
        <v/>
      </c>
      <c r="AB19" s="11">
        <f>COUNTIF(G19:Z19,"P")</f>
        <v/>
      </c>
      <c r="AC19" s="12">
        <f>COUNTIF(G19:Z19,"L")</f>
        <v/>
      </c>
      <c r="AD19" s="13">
        <f>COUNTIF(G19:Z19,"A")</f>
        <v/>
      </c>
      <c r="AE19" s="14">
        <f>AB19+AC19</f>
        <v/>
      </c>
      <c r="AF19" s="8">
        <f>AE19/16*10</f>
        <v/>
      </c>
      <c r="AG19" s="8">
        <f>AA19</f>
        <v/>
      </c>
      <c r="AH19" s="8" t="n">
        <v>18</v>
      </c>
      <c r="AI19" s="5" t="n"/>
    </row>
    <row r="20">
      <c r="A20" s="50" t="n"/>
      <c r="B20" s="4" t="n">
        <v>12</v>
      </c>
      <c r="C20" s="4" t="n">
        <v>12</v>
      </c>
      <c r="D20" s="7" t="inlineStr">
        <is>
          <t>سعود بن سالم بن علي بن سليمان الشامسي</t>
        </is>
      </c>
      <c r="E20" s="15" t="inlineStr">
        <is>
          <t>NA</t>
        </is>
      </c>
      <c r="F20" s="15" t="inlineStr">
        <is>
          <t>NA</t>
        </is>
      </c>
      <c r="G20" s="4" t="n"/>
      <c r="H20" s="4" t="n"/>
      <c r="I20" s="4" t="n"/>
      <c r="J20" s="4" t="n"/>
      <c r="K20" s="9" t="n">
        <v>0</v>
      </c>
      <c r="L20" s="4" t="n"/>
      <c r="M20" s="4" t="n"/>
      <c r="N20" s="4" t="n"/>
      <c r="O20" s="4" t="n"/>
      <c r="P20" s="9" t="n">
        <v>0</v>
      </c>
      <c r="Q20" s="4" t="n"/>
      <c r="R20" s="4" t="n"/>
      <c r="S20" s="4" t="n"/>
      <c r="T20" s="4" t="n"/>
      <c r="U20" s="9" t="n">
        <v>0</v>
      </c>
      <c r="V20" s="4" t="n"/>
      <c r="W20" s="4" t="n"/>
      <c r="X20" s="4" t="n"/>
      <c r="Y20" s="4" t="n"/>
      <c r="Z20" s="9" t="n">
        <v>0</v>
      </c>
      <c r="AA20" s="10">
        <f>AVERAGE(K20,P20,U20,Z20)</f>
        <v/>
      </c>
      <c r="AB20" s="11">
        <f>COUNTIF(G20:Z20,"P")</f>
        <v/>
      </c>
      <c r="AC20" s="12">
        <f>COUNTIF(G20:Z20,"L")</f>
        <v/>
      </c>
      <c r="AD20" s="13">
        <f>COUNTIF(G20:Z20,"A")</f>
        <v/>
      </c>
      <c r="AE20" s="14">
        <f>AB20+AC20</f>
        <v/>
      </c>
      <c r="AF20" s="8">
        <f>AE20/16*10</f>
        <v/>
      </c>
      <c r="AG20" s="8">
        <f>AA20</f>
        <v/>
      </c>
      <c r="AH20" s="8" t="n">
        <v>19</v>
      </c>
      <c r="AI20" s="5" t="n"/>
    </row>
    <row r="21">
      <c r="A21" s="50" t="n"/>
      <c r="B21" s="4" t="n">
        <v>13</v>
      </c>
      <c r="C21" s="4" t="n">
        <v>13</v>
      </c>
      <c r="D21" s="7" t="inlineStr">
        <is>
          <t>سياف عبدالله صالح محسن الحارثي</t>
        </is>
      </c>
      <c r="E21" s="15" t="inlineStr">
        <is>
          <t>NA</t>
        </is>
      </c>
      <c r="F21" s="15" t="inlineStr">
        <is>
          <t>NA</t>
        </is>
      </c>
      <c r="G21" s="4" t="n"/>
      <c r="H21" s="4" t="n"/>
      <c r="I21" s="4" t="n"/>
      <c r="J21" s="4" t="n"/>
      <c r="K21" s="9" t="n">
        <v>0</v>
      </c>
      <c r="L21" s="4" t="n"/>
      <c r="M21" s="4" t="n"/>
      <c r="N21" s="4" t="n"/>
      <c r="O21" s="4" t="n"/>
      <c r="P21" s="9" t="n">
        <v>0</v>
      </c>
      <c r="Q21" s="4" t="n"/>
      <c r="R21" s="4" t="n"/>
      <c r="S21" s="4" t="n"/>
      <c r="T21" s="4" t="n"/>
      <c r="U21" s="9" t="n">
        <v>0</v>
      </c>
      <c r="V21" s="4" t="n"/>
      <c r="W21" s="4" t="n"/>
      <c r="X21" s="4" t="n"/>
      <c r="Y21" s="4" t="n"/>
      <c r="Z21" s="9" t="n">
        <v>0</v>
      </c>
      <c r="AA21" s="10">
        <f>AVERAGE(K21,P21,U21,Z21)</f>
        <v/>
      </c>
      <c r="AB21" s="11">
        <f>COUNTIF(G21:Z21,"P")</f>
        <v/>
      </c>
      <c r="AC21" s="12">
        <f>COUNTIF(G21:Z21,"L")</f>
        <v/>
      </c>
      <c r="AD21" s="13">
        <f>COUNTIF(G21:Z21,"A")</f>
        <v/>
      </c>
      <c r="AE21" s="14">
        <f>AB21+AC21</f>
        <v/>
      </c>
      <c r="AF21" s="8">
        <f>AE21/16*10</f>
        <v/>
      </c>
      <c r="AG21" s="8">
        <f>AA21</f>
        <v/>
      </c>
      <c r="AH21" s="8" t="n">
        <v>18</v>
      </c>
      <c r="AI21" s="5" t="n"/>
    </row>
    <row r="22">
      <c r="A22" s="50" t="n"/>
      <c r="B22" s="4" t="n">
        <v>14</v>
      </c>
      <c r="C22" s="4" t="n">
        <v>14</v>
      </c>
      <c r="D22" s="7" t="inlineStr">
        <is>
          <t>شما محمد علي صالح الحارثي</t>
        </is>
      </c>
      <c r="E22" s="15" t="inlineStr">
        <is>
          <t>NA</t>
        </is>
      </c>
      <c r="F22" s="15" t="inlineStr">
        <is>
          <t>NA</t>
        </is>
      </c>
      <c r="G22" s="4" t="n"/>
      <c r="H22" s="4" t="n"/>
      <c r="I22" s="4" t="n"/>
      <c r="J22" s="4" t="n"/>
      <c r="K22" s="9" t="n">
        <v>0</v>
      </c>
      <c r="L22" s="4" t="n"/>
      <c r="M22" s="4" t="n"/>
      <c r="N22" s="4" t="n"/>
      <c r="O22" s="4" t="n"/>
      <c r="P22" s="9" t="n">
        <v>0</v>
      </c>
      <c r="Q22" s="4" t="n"/>
      <c r="R22" s="4" t="n"/>
      <c r="S22" s="4" t="n"/>
      <c r="T22" s="4" t="n"/>
      <c r="U22" s="9" t="n">
        <v>0</v>
      </c>
      <c r="V22" s="4" t="n"/>
      <c r="W22" s="4" t="n"/>
      <c r="X22" s="4" t="n"/>
      <c r="Y22" s="4" t="n"/>
      <c r="Z22" s="9" t="n">
        <v>0</v>
      </c>
      <c r="AA22" s="10">
        <f>AVERAGE(K22,P22,U22,Z22)</f>
        <v/>
      </c>
      <c r="AB22" s="11">
        <f>COUNTIF(G22:Z22,"P")</f>
        <v/>
      </c>
      <c r="AC22" s="12">
        <f>COUNTIF(G22:Z22,"L")</f>
        <v/>
      </c>
      <c r="AD22" s="13">
        <f>COUNTIF(G22:Z22,"A")</f>
        <v/>
      </c>
      <c r="AE22" s="14">
        <f>AB22+AC22</f>
        <v/>
      </c>
      <c r="AF22" s="8">
        <f>AE22/16*10</f>
        <v/>
      </c>
      <c r="AG22" s="8">
        <f>AA22</f>
        <v/>
      </c>
      <c r="AH22" s="8" t="n">
        <v>20</v>
      </c>
      <c r="AI22" s="5" t="n"/>
    </row>
    <row r="23">
      <c r="A23" s="50" t="n"/>
      <c r="B23" s="4" t="n">
        <v>15</v>
      </c>
      <c r="C23" s="4" t="n">
        <v>15</v>
      </c>
      <c r="D23" s="7" t="inlineStr">
        <is>
          <t>شما محمد ناصر سعيد العامري</t>
        </is>
      </c>
      <c r="E23" s="15" t="inlineStr">
        <is>
          <t>NA</t>
        </is>
      </c>
      <c r="F23" s="15" t="inlineStr">
        <is>
          <t>NA</t>
        </is>
      </c>
      <c r="G23" s="4" t="n"/>
      <c r="H23" s="4" t="n"/>
      <c r="I23" s="4" t="n"/>
      <c r="J23" s="4" t="n"/>
      <c r="K23" s="9" t="n">
        <v>0</v>
      </c>
      <c r="L23" s="4" t="n"/>
      <c r="M23" s="4" t="n"/>
      <c r="N23" s="4" t="n"/>
      <c r="O23" s="4" t="n"/>
      <c r="P23" s="9" t="n">
        <v>0</v>
      </c>
      <c r="Q23" s="4" t="n"/>
      <c r="R23" s="4" t="n"/>
      <c r="S23" s="4" t="n"/>
      <c r="T23" s="4" t="n"/>
      <c r="U23" s="9" t="n">
        <v>0</v>
      </c>
      <c r="V23" s="4" t="n"/>
      <c r="W23" s="4" t="n"/>
      <c r="X23" s="4" t="n"/>
      <c r="Y23" s="4" t="n"/>
      <c r="Z23" s="9" t="n">
        <v>0</v>
      </c>
      <c r="AA23" s="10">
        <f>AVERAGE(K23,P23,U23,Z23)</f>
        <v/>
      </c>
      <c r="AB23" s="11">
        <f>COUNTIF(G23:Z23,"P")</f>
        <v/>
      </c>
      <c r="AC23" s="12">
        <f>COUNTIF(G23:Z23,"L")</f>
        <v/>
      </c>
      <c r="AD23" s="13">
        <f>COUNTIF(G23:Z23,"A")</f>
        <v/>
      </c>
      <c r="AE23" s="14">
        <f>AB23+AC23</f>
        <v/>
      </c>
      <c r="AF23" s="8">
        <f>AE23/16*10</f>
        <v/>
      </c>
      <c r="AG23" s="8">
        <f>AA23</f>
        <v/>
      </c>
      <c r="AH23" s="8" t="n">
        <v>19</v>
      </c>
      <c r="AI23" s="5" t="n"/>
    </row>
    <row r="24">
      <c r="A24" s="50" t="n"/>
      <c r="B24" s="4" t="n">
        <v>16</v>
      </c>
      <c r="C24" s="4" t="n">
        <v>16</v>
      </c>
      <c r="D24" s="7" t="inlineStr">
        <is>
          <t>عبدالله سعيد عبدالله سالم الصيعري</t>
        </is>
      </c>
      <c r="E24" s="15" t="inlineStr">
        <is>
          <t>NA</t>
        </is>
      </c>
      <c r="F24" s="15" t="inlineStr">
        <is>
          <t>NA</t>
        </is>
      </c>
      <c r="G24" s="4" t="n"/>
      <c r="H24" s="4" t="n"/>
      <c r="I24" s="4" t="n"/>
      <c r="J24" s="4" t="n"/>
      <c r="K24" s="9" t="n">
        <v>0</v>
      </c>
      <c r="L24" s="4" t="n"/>
      <c r="M24" s="4" t="n"/>
      <c r="N24" s="4" t="n"/>
      <c r="O24" s="4" t="n"/>
      <c r="P24" s="9" t="n">
        <v>0</v>
      </c>
      <c r="Q24" s="4" t="n"/>
      <c r="R24" s="4" t="n"/>
      <c r="S24" s="4" t="n"/>
      <c r="T24" s="4" t="n"/>
      <c r="U24" s="9" t="n">
        <v>0</v>
      </c>
      <c r="V24" s="4" t="n"/>
      <c r="W24" s="4" t="n"/>
      <c r="X24" s="4" t="n"/>
      <c r="Y24" s="4" t="n"/>
      <c r="Z24" s="9" t="n">
        <v>0</v>
      </c>
      <c r="AA24" s="10">
        <f>AVERAGE(K24,P24,U24,Z24)</f>
        <v/>
      </c>
      <c r="AB24" s="11">
        <f>COUNTIF(G24:Z24,"P")</f>
        <v/>
      </c>
      <c r="AC24" s="12">
        <f>COUNTIF(G24:Z24,"L")</f>
        <v/>
      </c>
      <c r="AD24" s="13">
        <f>COUNTIF(G24:Z24,"A")</f>
        <v/>
      </c>
      <c r="AE24" s="14">
        <f>AB24+AC24</f>
        <v/>
      </c>
      <c r="AF24" s="8">
        <f>AE24/16*10</f>
        <v/>
      </c>
      <c r="AG24" s="8">
        <f>AA24</f>
        <v/>
      </c>
      <c r="AH24" s="8" t="n">
        <v>19</v>
      </c>
      <c r="AI24" s="5" t="n"/>
    </row>
    <row r="25">
      <c r="A25" s="50" t="n"/>
      <c r="B25" s="4" t="n">
        <v>17</v>
      </c>
      <c r="C25" s="4" t="n">
        <v>17</v>
      </c>
      <c r="D25" s="7" t="inlineStr">
        <is>
          <t>عفراء سالم محمد مقبل محمد</t>
        </is>
      </c>
      <c r="E25" s="15" t="inlineStr">
        <is>
          <t>NA</t>
        </is>
      </c>
      <c r="F25" s="15" t="inlineStr">
        <is>
          <t>NA</t>
        </is>
      </c>
      <c r="G25" s="4" t="n"/>
      <c r="H25" s="4" t="n"/>
      <c r="I25" s="4" t="n"/>
      <c r="J25" s="4" t="n"/>
      <c r="K25" s="9" t="n">
        <v>0</v>
      </c>
      <c r="L25" s="4" t="n"/>
      <c r="M25" s="4" t="n"/>
      <c r="N25" s="4" t="n"/>
      <c r="O25" s="4" t="n"/>
      <c r="P25" s="9" t="n">
        <v>0</v>
      </c>
      <c r="Q25" s="4" t="n"/>
      <c r="R25" s="4" t="n"/>
      <c r="S25" s="4" t="n"/>
      <c r="T25" s="4" t="n"/>
      <c r="U25" s="9" t="n">
        <v>0</v>
      </c>
      <c r="V25" s="4" t="n"/>
      <c r="W25" s="4" t="n"/>
      <c r="X25" s="4" t="n"/>
      <c r="Y25" s="4" t="n"/>
      <c r="Z25" s="9" t="n">
        <v>0</v>
      </c>
      <c r="AA25" s="10">
        <f>AVERAGE(K25,P25,U25,Z25)</f>
        <v/>
      </c>
      <c r="AB25" s="11">
        <f>COUNTIF(G25:Z25,"P")</f>
        <v/>
      </c>
      <c r="AC25" s="12">
        <f>COUNTIF(G25:Z25,"L")</f>
        <v/>
      </c>
      <c r="AD25" s="13">
        <f>COUNTIF(G25:Z25,"A")</f>
        <v/>
      </c>
      <c r="AE25" s="14">
        <f>AB25+AC25</f>
        <v/>
      </c>
      <c r="AF25" s="8">
        <f>AE25/16*10</f>
        <v/>
      </c>
      <c r="AG25" s="8">
        <f>AA25</f>
        <v/>
      </c>
      <c r="AH25" s="8" t="n">
        <v>19</v>
      </c>
      <c r="AI25" s="5" t="n"/>
    </row>
    <row r="26">
      <c r="A26" s="50" t="n"/>
      <c r="B26" s="4" t="n">
        <v>18</v>
      </c>
      <c r="C26" s="4" t="n">
        <v>18</v>
      </c>
      <c r="D26" s="7" t="inlineStr">
        <is>
          <t>علياء على خميس عبدالله الكعبي</t>
        </is>
      </c>
      <c r="E26" s="15" t="inlineStr">
        <is>
          <t>NA</t>
        </is>
      </c>
      <c r="F26" s="15" t="inlineStr">
        <is>
          <t>NA</t>
        </is>
      </c>
      <c r="G26" s="4" t="n"/>
      <c r="H26" s="4" t="n"/>
      <c r="I26" s="4" t="n"/>
      <c r="J26" s="4" t="n"/>
      <c r="K26" s="9" t="n">
        <v>0</v>
      </c>
      <c r="L26" s="4" t="n"/>
      <c r="M26" s="4" t="n"/>
      <c r="N26" s="4" t="n"/>
      <c r="O26" s="4" t="n"/>
      <c r="P26" s="9" t="n">
        <v>0</v>
      </c>
      <c r="Q26" s="4" t="n"/>
      <c r="R26" s="4" t="n"/>
      <c r="S26" s="4" t="n"/>
      <c r="T26" s="4" t="n"/>
      <c r="U26" s="9" t="n">
        <v>0</v>
      </c>
      <c r="V26" s="4" t="n"/>
      <c r="W26" s="4" t="n"/>
      <c r="X26" s="4" t="n"/>
      <c r="Y26" s="4" t="n"/>
      <c r="Z26" s="9" t="n">
        <v>0</v>
      </c>
      <c r="AA26" s="10">
        <f>AVERAGE(K26,P26,U26,Z26)</f>
        <v/>
      </c>
      <c r="AB26" s="11">
        <f>COUNTIF(G26:Z26,"P")</f>
        <v/>
      </c>
      <c r="AC26" s="12">
        <f>COUNTIF(G26:Z26,"L")</f>
        <v/>
      </c>
      <c r="AD26" s="13">
        <f>COUNTIF(G26:Z26,"A")</f>
        <v/>
      </c>
      <c r="AE26" s="14">
        <f>AB26+AC26</f>
        <v/>
      </c>
      <c r="AF26" s="8">
        <f>AE26/16*10</f>
        <v/>
      </c>
      <c r="AG26" s="8">
        <f>AA26</f>
        <v/>
      </c>
      <c r="AH26" s="8" t="n">
        <v>20</v>
      </c>
      <c r="AI26" s="5" t="n"/>
    </row>
    <row r="27">
      <c r="A27" s="50" t="n"/>
      <c r="B27" s="4" t="n">
        <v>19</v>
      </c>
      <c r="C27" s="4" t="n">
        <v>19</v>
      </c>
      <c r="D27" s="7" t="inlineStr">
        <is>
          <t>غريبه سعيدان محمد مسفر الأحبابي</t>
        </is>
      </c>
      <c r="E27" s="15" t="inlineStr">
        <is>
          <t>NA</t>
        </is>
      </c>
      <c r="F27" s="15" t="inlineStr">
        <is>
          <t>NA</t>
        </is>
      </c>
      <c r="G27" s="4" t="n"/>
      <c r="H27" s="4" t="n"/>
      <c r="I27" s="4" t="n"/>
      <c r="J27" s="4" t="n"/>
      <c r="K27" s="9" t="n">
        <v>0</v>
      </c>
      <c r="L27" s="4" t="n"/>
      <c r="M27" s="4" t="n"/>
      <c r="N27" s="4" t="n"/>
      <c r="O27" s="4" t="n"/>
      <c r="P27" s="9" t="n">
        <v>0</v>
      </c>
      <c r="Q27" s="4" t="n"/>
      <c r="R27" s="4" t="n"/>
      <c r="S27" s="4" t="n"/>
      <c r="T27" s="4" t="n"/>
      <c r="U27" s="9" t="n">
        <v>0</v>
      </c>
      <c r="V27" s="4" t="n"/>
      <c r="W27" s="4" t="n"/>
      <c r="X27" s="4" t="n"/>
      <c r="Y27" s="4" t="n"/>
      <c r="Z27" s="9" t="n">
        <v>0</v>
      </c>
      <c r="AA27" s="10">
        <f>AVERAGE(K27,P27,U27,Z27)</f>
        <v/>
      </c>
      <c r="AB27" s="11">
        <f>COUNTIF(G27:Z27,"P")</f>
        <v/>
      </c>
      <c r="AC27" s="12">
        <f>COUNTIF(G27:Z27,"L")</f>
        <v/>
      </c>
      <c r="AD27" s="13">
        <f>COUNTIF(G27:Z27,"A")</f>
        <v/>
      </c>
      <c r="AE27" s="14">
        <f>AB27+AC27</f>
        <v/>
      </c>
      <c r="AF27" s="8">
        <f>AE27/16*10</f>
        <v/>
      </c>
      <c r="AG27" s="8">
        <f>AA27</f>
        <v/>
      </c>
      <c r="AH27" s="8" t="n">
        <v>20</v>
      </c>
      <c r="AI27" s="5" t="n"/>
    </row>
    <row r="28">
      <c r="A28" s="50" t="n"/>
      <c r="B28" s="4" t="n">
        <v>20</v>
      </c>
      <c r="C28" s="4" t="n">
        <v>20</v>
      </c>
      <c r="D28" s="7" t="inlineStr">
        <is>
          <t>فاطمة عمر محمد العامري</t>
        </is>
      </c>
      <c r="E28" s="15" t="inlineStr">
        <is>
          <t>NA</t>
        </is>
      </c>
      <c r="F28" s="15" t="inlineStr">
        <is>
          <t>NA</t>
        </is>
      </c>
      <c r="G28" s="4" t="n"/>
      <c r="H28" s="4" t="n"/>
      <c r="I28" s="4" t="n"/>
      <c r="J28" s="4" t="n"/>
      <c r="K28" s="9" t="n">
        <v>0</v>
      </c>
      <c r="L28" s="4" t="n"/>
      <c r="M28" s="4" t="n"/>
      <c r="N28" s="4" t="n"/>
      <c r="O28" s="4" t="n"/>
      <c r="P28" s="9" t="n">
        <v>0</v>
      </c>
      <c r="Q28" s="4" t="n"/>
      <c r="R28" s="4" t="n"/>
      <c r="S28" s="4" t="n"/>
      <c r="T28" s="4" t="n"/>
      <c r="U28" s="9" t="n">
        <v>0</v>
      </c>
      <c r="V28" s="4" t="n"/>
      <c r="W28" s="4" t="n"/>
      <c r="X28" s="4" t="n"/>
      <c r="Y28" s="4" t="n"/>
      <c r="Z28" s="9" t="n">
        <v>0</v>
      </c>
      <c r="AA28" s="10">
        <f>AVERAGE(K28,P28,U28,Z28)</f>
        <v/>
      </c>
      <c r="AB28" s="11">
        <f>COUNTIF(G28:Z28,"P")</f>
        <v/>
      </c>
      <c r="AC28" s="12">
        <f>COUNTIF(G28:Z28,"L")</f>
        <v/>
      </c>
      <c r="AD28" s="13">
        <f>COUNTIF(G28:Z28,"A")</f>
        <v/>
      </c>
      <c r="AE28" s="14">
        <f>AB28+AC28</f>
        <v/>
      </c>
      <c r="AF28" s="8">
        <f>AE28/16*10</f>
        <v/>
      </c>
      <c r="AG28" s="8">
        <f>AA28</f>
        <v/>
      </c>
      <c r="AH28" s="8" t="n">
        <v>19</v>
      </c>
      <c r="AI28" s="5" t="n"/>
    </row>
    <row r="29">
      <c r="A29" s="50" t="n"/>
      <c r="B29" s="4" t="n">
        <v>21</v>
      </c>
      <c r="C29" s="4" t="n">
        <v>21</v>
      </c>
      <c r="D29" s="7" t="inlineStr">
        <is>
          <t>مهره على ظافر هادى الاحبابى</t>
        </is>
      </c>
      <c r="E29" s="15" t="inlineStr">
        <is>
          <t>NA</t>
        </is>
      </c>
      <c r="F29" s="15" t="inlineStr">
        <is>
          <t>NA</t>
        </is>
      </c>
      <c r="G29" s="4" t="n"/>
      <c r="H29" s="4" t="n"/>
      <c r="I29" s="4" t="n"/>
      <c r="J29" s="4" t="n"/>
      <c r="K29" s="9" t="n">
        <v>0</v>
      </c>
      <c r="L29" s="4" t="n"/>
      <c r="M29" s="4" t="n"/>
      <c r="N29" s="4" t="n"/>
      <c r="O29" s="4" t="n"/>
      <c r="P29" s="9" t="n">
        <v>0</v>
      </c>
      <c r="Q29" s="4" t="n"/>
      <c r="R29" s="4" t="n"/>
      <c r="S29" s="4" t="n"/>
      <c r="T29" s="4" t="n"/>
      <c r="U29" s="9" t="n">
        <v>0</v>
      </c>
      <c r="V29" s="4" t="n"/>
      <c r="W29" s="4" t="n"/>
      <c r="X29" s="4" t="n"/>
      <c r="Y29" s="4" t="n"/>
      <c r="Z29" s="9" t="n">
        <v>0</v>
      </c>
      <c r="AA29" s="10">
        <f>AVERAGE(K29,P29,U29,Z29)</f>
        <v/>
      </c>
      <c r="AB29" s="11">
        <f>COUNTIF(G29:Z29,"P")</f>
        <v/>
      </c>
      <c r="AC29" s="12">
        <f>COUNTIF(G29:Z29,"L")</f>
        <v/>
      </c>
      <c r="AD29" s="13">
        <f>COUNTIF(G29:Z29,"A")</f>
        <v/>
      </c>
      <c r="AE29" s="14">
        <f>AB29+AC29</f>
        <v/>
      </c>
      <c r="AF29" s="8">
        <f>AE29/16*10</f>
        <v/>
      </c>
      <c r="AG29" s="8">
        <f>AA29</f>
        <v/>
      </c>
      <c r="AH29" s="8" t="n">
        <v>20</v>
      </c>
      <c r="AI29" s="5" t="n"/>
    </row>
    <row r="30">
      <c r="A30" s="50" t="n"/>
      <c r="B30" s="4" t="n">
        <v>22</v>
      </c>
      <c r="C30" s="4" t="n">
        <v>22</v>
      </c>
      <c r="D30" s="7" t="inlineStr">
        <is>
          <t>مهره ناصر علي جابر الاحبابي</t>
        </is>
      </c>
      <c r="E30" s="15" t="inlineStr">
        <is>
          <t>NA</t>
        </is>
      </c>
      <c r="F30" s="15" t="inlineStr">
        <is>
          <t>NA</t>
        </is>
      </c>
      <c r="G30" s="4" t="n"/>
      <c r="H30" s="4" t="n"/>
      <c r="I30" s="4" t="n"/>
      <c r="J30" s="4" t="n"/>
      <c r="K30" s="9" t="n">
        <v>0</v>
      </c>
      <c r="L30" s="4" t="n"/>
      <c r="M30" s="4" t="n"/>
      <c r="N30" s="4" t="n"/>
      <c r="O30" s="4" t="n"/>
      <c r="P30" s="9" t="n">
        <v>0</v>
      </c>
      <c r="Q30" s="4" t="n"/>
      <c r="R30" s="4" t="n"/>
      <c r="S30" s="4" t="n"/>
      <c r="T30" s="4" t="n"/>
      <c r="U30" s="9" t="n">
        <v>0</v>
      </c>
      <c r="V30" s="4" t="n"/>
      <c r="W30" s="4" t="n"/>
      <c r="X30" s="4" t="n"/>
      <c r="Y30" s="4" t="n"/>
      <c r="Z30" s="9" t="n">
        <v>0</v>
      </c>
      <c r="AA30" s="10">
        <f>AVERAGE(K30,P30,U30,Z30)</f>
        <v/>
      </c>
      <c r="AB30" s="11">
        <f>COUNTIF(G30:Z30,"P")</f>
        <v/>
      </c>
      <c r="AC30" s="12">
        <f>COUNTIF(G30:Z30,"L")</f>
        <v/>
      </c>
      <c r="AD30" s="13">
        <f>COUNTIF(G30:Z30,"A")</f>
        <v/>
      </c>
      <c r="AE30" s="14">
        <f>AB30+AC30</f>
        <v/>
      </c>
      <c r="AF30" s="8">
        <f>AE30/16*10</f>
        <v/>
      </c>
      <c r="AG30" s="8">
        <f>AA30</f>
        <v/>
      </c>
      <c r="AH30" s="8" t="n">
        <v>20</v>
      </c>
      <c r="AI30" s="5" t="n"/>
    </row>
    <row r="31">
      <c r="A31" s="50" t="n"/>
      <c r="B31" s="4" t="n">
        <v>23</v>
      </c>
      <c r="C31" s="4" t="n">
        <v>23</v>
      </c>
      <c r="D31" s="7" t="inlineStr">
        <is>
          <t>ميثاء ابوبكر صالح محمد الدابسى</t>
        </is>
      </c>
      <c r="E31" s="15" t="inlineStr">
        <is>
          <t>NA</t>
        </is>
      </c>
      <c r="F31" s="15" t="inlineStr">
        <is>
          <t>NA</t>
        </is>
      </c>
      <c r="G31" s="4" t="n"/>
      <c r="H31" s="4" t="n"/>
      <c r="I31" s="4" t="n"/>
      <c r="J31" s="4" t="n"/>
      <c r="K31" s="9" t="n">
        <v>0</v>
      </c>
      <c r="L31" s="4" t="n"/>
      <c r="M31" s="4" t="n"/>
      <c r="N31" s="4" t="n"/>
      <c r="O31" s="4" t="n"/>
      <c r="P31" s="9" t="n">
        <v>0</v>
      </c>
      <c r="Q31" s="4" t="n"/>
      <c r="R31" s="4" t="n"/>
      <c r="S31" s="4" t="n"/>
      <c r="T31" s="4" t="n"/>
      <c r="U31" s="9" t="n">
        <v>0</v>
      </c>
      <c r="V31" s="4" t="n"/>
      <c r="W31" s="4" t="n"/>
      <c r="X31" s="4" t="n"/>
      <c r="Y31" s="4" t="n"/>
      <c r="Z31" s="9" t="n">
        <v>0</v>
      </c>
      <c r="AA31" s="10">
        <f>AVERAGE(K31,P31,U31,Z31)</f>
        <v/>
      </c>
      <c r="AB31" s="11">
        <f>COUNTIF(G31:Z31,"P")</f>
        <v/>
      </c>
      <c r="AC31" s="12">
        <f>COUNTIF(G31:Z31,"L")</f>
        <v/>
      </c>
      <c r="AD31" s="13">
        <f>COUNTIF(G31:Z31,"A")</f>
        <v/>
      </c>
      <c r="AE31" s="14">
        <f>AB31+AC31</f>
        <v/>
      </c>
      <c r="AF31" s="8">
        <f>AE31/16*10</f>
        <v/>
      </c>
      <c r="AG31" s="8">
        <f>AA31</f>
        <v/>
      </c>
      <c r="AH31" s="8" t="n">
        <v>19</v>
      </c>
      <c r="AI31" s="5" t="n"/>
    </row>
    <row r="32">
      <c r="A32" s="50" t="n"/>
      <c r="B32" s="4" t="n">
        <v>24</v>
      </c>
      <c r="C32" s="4" t="n">
        <v>24</v>
      </c>
      <c r="D32" s="7" t="inlineStr">
        <is>
          <t>ميره خالد عنتر سليم النعيمي</t>
        </is>
      </c>
      <c r="E32" s="15" t="inlineStr">
        <is>
          <t>NA</t>
        </is>
      </c>
      <c r="F32" s="15" t="inlineStr">
        <is>
          <t>NA</t>
        </is>
      </c>
      <c r="G32" s="4" t="n"/>
      <c r="H32" s="4" t="n"/>
      <c r="I32" s="4" t="n"/>
      <c r="J32" s="4" t="n"/>
      <c r="K32" s="9" t="n">
        <v>0</v>
      </c>
      <c r="L32" s="4" t="n"/>
      <c r="M32" s="4" t="n"/>
      <c r="N32" s="4" t="n"/>
      <c r="O32" s="4" t="n"/>
      <c r="P32" s="9" t="n">
        <v>0</v>
      </c>
      <c r="Q32" s="4" t="n"/>
      <c r="R32" s="4" t="n"/>
      <c r="S32" s="4" t="n"/>
      <c r="T32" s="4" t="n"/>
      <c r="U32" s="9" t="n">
        <v>0</v>
      </c>
      <c r="V32" s="4" t="n"/>
      <c r="W32" s="4" t="n"/>
      <c r="X32" s="4" t="n"/>
      <c r="Y32" s="4" t="n"/>
      <c r="Z32" s="9" t="n">
        <v>0</v>
      </c>
      <c r="AA32" s="10">
        <f>AVERAGE(K32,P32,U32,Z32)</f>
        <v/>
      </c>
      <c r="AB32" s="11">
        <f>COUNTIF(G32:Z32,"P")</f>
        <v/>
      </c>
      <c r="AC32" s="12">
        <f>COUNTIF(G32:Z32,"L")</f>
        <v/>
      </c>
      <c r="AD32" s="13">
        <f>COUNTIF(G32:Z32,"A")</f>
        <v/>
      </c>
      <c r="AE32" s="14">
        <f>AB32+AC32</f>
        <v/>
      </c>
      <c r="AF32" s="8">
        <f>AE32/16*10</f>
        <v/>
      </c>
      <c r="AG32" s="8">
        <f>AA32</f>
        <v/>
      </c>
      <c r="AH32" s="8" t="n">
        <v>20</v>
      </c>
      <c r="AI32" s="5" t="n"/>
    </row>
    <row r="33">
      <c r="A33" s="50" t="n"/>
      <c r="B33" s="4" t="n">
        <v>25</v>
      </c>
      <c r="C33" s="4" t="n">
        <v>25</v>
      </c>
      <c r="D33" s="7" t="inlineStr">
        <is>
          <t>نوره محمد صالح علي الكربي</t>
        </is>
      </c>
      <c r="E33" s="15" t="inlineStr">
        <is>
          <t>NA</t>
        </is>
      </c>
      <c r="F33" s="15" t="inlineStr">
        <is>
          <t>NA</t>
        </is>
      </c>
      <c r="G33" s="4" t="n"/>
      <c r="H33" s="4" t="n"/>
      <c r="I33" s="4" t="n"/>
      <c r="J33" s="4" t="n"/>
      <c r="K33" s="9" t="n">
        <v>0</v>
      </c>
      <c r="L33" s="4" t="n"/>
      <c r="M33" s="4" t="n"/>
      <c r="N33" s="4" t="n"/>
      <c r="O33" s="4" t="n"/>
      <c r="P33" s="9" t="n">
        <v>0</v>
      </c>
      <c r="Q33" s="4" t="n"/>
      <c r="R33" s="4" t="n"/>
      <c r="S33" s="4" t="n"/>
      <c r="T33" s="4" t="n"/>
      <c r="U33" s="9" t="n">
        <v>0</v>
      </c>
      <c r="V33" s="4" t="n"/>
      <c r="W33" s="4" t="n"/>
      <c r="X33" s="4" t="n"/>
      <c r="Y33" s="4" t="n"/>
      <c r="Z33" s="9" t="n">
        <v>0</v>
      </c>
      <c r="AA33" s="10">
        <f>AVERAGE(K33,P33,U33,Z33)</f>
        <v/>
      </c>
      <c r="AB33" s="11">
        <f>COUNTIF(G33:Z33,"P")</f>
        <v/>
      </c>
      <c r="AC33" s="12">
        <f>COUNTIF(G33:Z33,"L")</f>
        <v/>
      </c>
      <c r="AD33" s="13">
        <f>COUNTIF(G33:Z33,"A")</f>
        <v/>
      </c>
      <c r="AE33" s="14">
        <f>AB33+AC33</f>
        <v/>
      </c>
      <c r="AF33" s="8">
        <f>AE33/16*10</f>
        <v/>
      </c>
      <c r="AG33" s="8">
        <f>AA33</f>
        <v/>
      </c>
      <c r="AH33" s="8" t="n">
        <v>20</v>
      </c>
      <c r="AI33" s="5" t="n"/>
    </row>
    <row r="34">
      <c r="A34" s="50" t="n"/>
      <c r="B34" s="4" t="n">
        <v>26</v>
      </c>
      <c r="C34" s="4" t="n"/>
      <c r="D34" s="7" t="n"/>
      <c r="E34" s="15" t="inlineStr">
        <is>
          <t>NA</t>
        </is>
      </c>
      <c r="F34" s="15" t="inlineStr">
        <is>
          <t>NA</t>
        </is>
      </c>
      <c r="G34" s="4" t="n"/>
      <c r="H34" s="4" t="n"/>
      <c r="I34" s="4" t="n"/>
      <c r="J34" s="4" t="n"/>
      <c r="K34" s="9" t="n">
        <v>0</v>
      </c>
      <c r="L34" s="4" t="n"/>
      <c r="M34" s="4" t="n"/>
      <c r="N34" s="4" t="n"/>
      <c r="O34" s="4" t="n"/>
      <c r="P34" s="9" t="n">
        <v>0</v>
      </c>
      <c r="Q34" s="4" t="n"/>
      <c r="R34" s="4" t="n"/>
      <c r="S34" s="4" t="n"/>
      <c r="T34" s="4" t="n"/>
      <c r="U34" s="9" t="n">
        <v>0</v>
      </c>
      <c r="V34" s="4" t="n"/>
      <c r="W34" s="4" t="n"/>
      <c r="X34" s="4" t="n"/>
      <c r="Y34" s="4" t="n"/>
      <c r="Z34" s="9" t="n">
        <v>0</v>
      </c>
      <c r="AA34" s="10">
        <f>AVERAGE(K34,P34,U34,Z34)</f>
        <v/>
      </c>
      <c r="AB34" s="11">
        <f>COUNTIF(G34:Z34,"P")</f>
        <v/>
      </c>
      <c r="AC34" s="12">
        <f>COUNTIF(G34:Z34,"L")</f>
        <v/>
      </c>
      <c r="AD34" s="13">
        <f>COUNTIF(G34:Z34,"A")</f>
        <v/>
      </c>
      <c r="AE34" s="14">
        <f>AB34+AC34</f>
        <v/>
      </c>
      <c r="AF34" s="8">
        <f>AE34/16*10</f>
        <v/>
      </c>
      <c r="AG34" s="8">
        <f>AA34</f>
        <v/>
      </c>
      <c r="AH34" s="8" t="n"/>
      <c r="AI34" s="5" t="n"/>
    </row>
    <row r="35">
      <c r="A35" s="50" t="n"/>
      <c r="B35" s="4" t="n">
        <v>27</v>
      </c>
      <c r="C35" s="4" t="n"/>
      <c r="D35" s="7" t="n"/>
      <c r="E35" s="15" t="inlineStr">
        <is>
          <t>NA</t>
        </is>
      </c>
      <c r="F35" s="15" t="inlineStr">
        <is>
          <t>NA</t>
        </is>
      </c>
      <c r="G35" s="4" t="n"/>
      <c r="H35" s="4" t="n"/>
      <c r="I35" s="4" t="n"/>
      <c r="J35" s="4" t="n"/>
      <c r="K35" s="9" t="n">
        <v>0</v>
      </c>
      <c r="L35" s="4" t="n"/>
      <c r="M35" s="4" t="n"/>
      <c r="N35" s="4" t="n"/>
      <c r="O35" s="4" t="n"/>
      <c r="P35" s="9" t="n">
        <v>0</v>
      </c>
      <c r="Q35" s="4" t="n"/>
      <c r="R35" s="4" t="n"/>
      <c r="S35" s="4" t="n"/>
      <c r="T35" s="4" t="n"/>
      <c r="U35" s="9" t="n">
        <v>0</v>
      </c>
      <c r="V35" s="4" t="n"/>
      <c r="W35" s="4" t="n"/>
      <c r="X35" s="4" t="n"/>
      <c r="Y35" s="4" t="n"/>
      <c r="Z35" s="9" t="n">
        <v>0</v>
      </c>
      <c r="AA35" s="10">
        <f>AVERAGE(K35,P35,U35,Z35)</f>
        <v/>
      </c>
      <c r="AB35" s="11">
        <f>COUNTIF(G35:Z35,"P")</f>
        <v/>
      </c>
      <c r="AC35" s="12">
        <f>COUNTIF(G35:Z35,"L")</f>
        <v/>
      </c>
      <c r="AD35" s="13">
        <f>COUNTIF(G35:Z35,"A")</f>
        <v/>
      </c>
      <c r="AE35" s="14">
        <f>AB35+AC35</f>
        <v/>
      </c>
      <c r="AF35" s="8">
        <f>AE35/16*10</f>
        <v/>
      </c>
      <c r="AG35" s="8">
        <f>AA35</f>
        <v/>
      </c>
      <c r="AH35" s="8" t="n"/>
      <c r="AI35" s="5" t="n"/>
    </row>
    <row r="36">
      <c r="A36" s="50" t="n"/>
      <c r="B36" s="4" t="n">
        <v>28</v>
      </c>
      <c r="C36" s="4" t="n"/>
      <c r="D36" s="7" t="n"/>
      <c r="E36" s="15" t="inlineStr">
        <is>
          <t>NA</t>
        </is>
      </c>
      <c r="F36" s="15" t="inlineStr">
        <is>
          <t>NA</t>
        </is>
      </c>
      <c r="G36" s="4" t="n"/>
      <c r="H36" s="4" t="n"/>
      <c r="I36" s="4" t="n"/>
      <c r="J36" s="4" t="n"/>
      <c r="K36" s="9" t="n">
        <v>5</v>
      </c>
      <c r="L36" s="4" t="inlineStr">
        <is>
          <t>p</t>
        </is>
      </c>
      <c r="M36" s="4" t="inlineStr">
        <is>
          <t>p</t>
        </is>
      </c>
      <c r="N36" s="4" t="inlineStr">
        <is>
          <t>p</t>
        </is>
      </c>
      <c r="O36" s="4" t="inlineStr">
        <is>
          <t>p</t>
        </is>
      </c>
      <c r="P36" s="9" t="n">
        <v>5</v>
      </c>
      <c r="Q36" s="4" t="inlineStr">
        <is>
          <t>p</t>
        </is>
      </c>
      <c r="R36" s="4" t="inlineStr">
        <is>
          <t>p</t>
        </is>
      </c>
      <c r="S36" s="4" t="inlineStr">
        <is>
          <t>p</t>
        </is>
      </c>
      <c r="T36" s="4" t="inlineStr">
        <is>
          <t>p</t>
        </is>
      </c>
      <c r="U36" s="9" t="n">
        <v>5</v>
      </c>
      <c r="V36" s="4" t="inlineStr">
        <is>
          <t>a</t>
        </is>
      </c>
      <c r="W36" s="4" t="inlineStr">
        <is>
          <t>a</t>
        </is>
      </c>
      <c r="X36" s="4" t="inlineStr">
        <is>
          <t>a</t>
        </is>
      </c>
      <c r="Y36" s="4" t="inlineStr">
        <is>
          <t>a</t>
        </is>
      </c>
      <c r="Z36" s="9" t="n">
        <v>5</v>
      </c>
      <c r="AA36" s="10">
        <f>AVERAGE(K36,P36,U36,Z36)</f>
        <v/>
      </c>
      <c r="AB36" s="11">
        <f>COUNTIF(G36:Z36,"P")</f>
        <v/>
      </c>
      <c r="AC36" s="12">
        <f>COUNTIF(G36:Z36,"L")</f>
        <v/>
      </c>
      <c r="AD36" s="13">
        <f>COUNTIF(G36:Z36,"A")</f>
        <v/>
      </c>
      <c r="AE36" s="14">
        <f>AB36+AC36</f>
        <v/>
      </c>
      <c r="AF36" s="8">
        <f>AE36/16*10</f>
        <v/>
      </c>
      <c r="AG36" s="8">
        <f>AA36</f>
        <v/>
      </c>
      <c r="AH36" s="8" t="n"/>
      <c r="AI36" s="5" t="n"/>
    </row>
    <row r="37">
      <c r="A37" s="50" t="n"/>
      <c r="B37" s="4" t="n">
        <v>29</v>
      </c>
      <c r="C37" s="4" t="n"/>
      <c r="D37" s="7" t="n"/>
      <c r="E37" s="15" t="inlineStr">
        <is>
          <t>NA</t>
        </is>
      </c>
      <c r="F37" s="15" t="inlineStr">
        <is>
          <t>NA</t>
        </is>
      </c>
      <c r="G37" s="4" t="n"/>
      <c r="H37" s="4" t="n"/>
      <c r="I37" s="4" t="n"/>
      <c r="J37" s="4" t="n"/>
      <c r="K37" s="9" t="n">
        <v>0</v>
      </c>
      <c r="L37" s="4" t="n"/>
      <c r="M37" s="4" t="n"/>
      <c r="N37" s="4" t="n"/>
      <c r="O37" s="4" t="n"/>
      <c r="P37" s="9" t="n">
        <v>0</v>
      </c>
      <c r="Q37" s="4" t="n"/>
      <c r="R37" s="4" t="n"/>
      <c r="S37" s="4" t="n"/>
      <c r="T37" s="4" t="n"/>
      <c r="U37" s="9" t="n">
        <v>0</v>
      </c>
      <c r="V37" s="4" t="n"/>
      <c r="W37" s="4" t="n"/>
      <c r="X37" s="4" t="n"/>
      <c r="Y37" s="4" t="n"/>
      <c r="Z37" s="9" t="n">
        <v>0</v>
      </c>
      <c r="AA37" s="10">
        <f>AVERAGE(K37,P37,U37,Z37)</f>
        <v/>
      </c>
      <c r="AB37" s="11">
        <f>COUNTIF(G37:Z37,"P")</f>
        <v/>
      </c>
      <c r="AC37" s="12">
        <f>COUNTIF(G37:Z37,"L")</f>
        <v/>
      </c>
      <c r="AD37" s="13">
        <f>COUNTIF(G37:Z37,"A")</f>
        <v/>
      </c>
      <c r="AE37" s="14">
        <f>AB37+AC37</f>
        <v/>
      </c>
      <c r="AF37" s="8">
        <f>AE37/16*10</f>
        <v/>
      </c>
      <c r="AG37" s="8">
        <f>AA37</f>
        <v/>
      </c>
      <c r="AH37" s="8" t="n"/>
      <c r="AI37" s="5" t="n"/>
    </row>
    <row r="38">
      <c r="A38" s="50" t="n"/>
      <c r="B38" s="4" t="n">
        <v>30</v>
      </c>
      <c r="C38" s="4" t="n"/>
      <c r="D38" s="7" t="n"/>
      <c r="E38" s="15" t="inlineStr">
        <is>
          <t>NA</t>
        </is>
      </c>
      <c r="F38" s="15" t="inlineStr">
        <is>
          <t>NA</t>
        </is>
      </c>
      <c r="G38" s="4" t="n"/>
      <c r="H38" s="4" t="n"/>
      <c r="I38" s="4" t="n"/>
      <c r="J38" s="4" t="n"/>
      <c r="K38" s="9" t="n">
        <v>0</v>
      </c>
      <c r="L38" s="4" t="n"/>
      <c r="M38" s="4" t="n"/>
      <c r="N38" s="4" t="n"/>
      <c r="O38" s="4" t="n"/>
      <c r="P38" s="9" t="n">
        <v>0</v>
      </c>
      <c r="Q38" s="4" t="n"/>
      <c r="R38" s="4" t="n"/>
      <c r="S38" s="4" t="n"/>
      <c r="T38" s="4" t="n"/>
      <c r="U38" s="9" t="n">
        <v>0</v>
      </c>
      <c r="V38" s="4" t="n"/>
      <c r="W38" s="4" t="n"/>
      <c r="X38" s="4" t="n"/>
      <c r="Y38" s="4" t="n"/>
      <c r="Z38" s="9" t="n">
        <v>0</v>
      </c>
      <c r="AA38" s="10">
        <f>AVERAGE(K38,P38,U38,Z38)</f>
        <v/>
      </c>
      <c r="AB38" s="11">
        <f>COUNTIF(G38:Z38,"P")</f>
        <v/>
      </c>
      <c r="AC38" s="12">
        <f>COUNTIF(G38:Z38,"L")</f>
        <v/>
      </c>
      <c r="AD38" s="13">
        <f>COUNTIF(G38:Z38,"A")</f>
        <v/>
      </c>
      <c r="AE38" s="14">
        <f>AB38+AC38</f>
        <v/>
      </c>
      <c r="AF38" s="8">
        <f>AE38/16*10</f>
        <v/>
      </c>
      <c r="AG38" s="8">
        <f>AA38</f>
        <v/>
      </c>
      <c r="AH38" s="8" t="n"/>
      <c r="AI38" s="5" t="n"/>
    </row>
    <row r="39">
      <c r="A39" s="50" t="n"/>
      <c r="B39" s="4" t="n">
        <v>31</v>
      </c>
      <c r="C39" s="4" t="n"/>
      <c r="D39" s="7" t="n"/>
      <c r="E39" s="15" t="inlineStr">
        <is>
          <t>NA</t>
        </is>
      </c>
      <c r="F39" s="15" t="inlineStr">
        <is>
          <t>NA</t>
        </is>
      </c>
      <c r="G39" s="4" t="n"/>
      <c r="H39" s="4" t="n"/>
      <c r="I39" s="4" t="n"/>
      <c r="J39" s="4" t="n"/>
      <c r="K39" s="9" t="n">
        <v>0</v>
      </c>
      <c r="L39" s="4" t="n"/>
      <c r="M39" s="4" t="n"/>
      <c r="N39" s="4" t="n"/>
      <c r="O39" s="4" t="n"/>
      <c r="P39" s="9" t="n">
        <v>0</v>
      </c>
      <c r="Q39" s="4" t="n"/>
      <c r="R39" s="4" t="n"/>
      <c r="S39" s="4" t="n"/>
      <c r="T39" s="4" t="n"/>
      <c r="U39" s="9" t="n">
        <v>0</v>
      </c>
      <c r="V39" s="4" t="n"/>
      <c r="W39" s="4" t="n"/>
      <c r="X39" s="4" t="n"/>
      <c r="Y39" s="4" t="n"/>
      <c r="Z39" s="9" t="n">
        <v>0</v>
      </c>
      <c r="AA39" s="10">
        <f>AVERAGE(K39,P39,U39,Z39)</f>
        <v/>
      </c>
      <c r="AB39" s="11">
        <f>COUNTIF(G39:Z39,"P")</f>
        <v/>
      </c>
      <c r="AC39" s="12">
        <f>COUNTIF(G39:Z39,"L")</f>
        <v/>
      </c>
      <c r="AD39" s="13">
        <f>COUNTIF(G39:Z39,"A")</f>
        <v/>
      </c>
      <c r="AE39" s="14">
        <f>AB39+AC39</f>
        <v/>
      </c>
      <c r="AF39" s="8">
        <f>AE39/16*10</f>
        <v/>
      </c>
      <c r="AG39" s="8">
        <f>AA39</f>
        <v/>
      </c>
      <c r="AH39" s="8" t="n"/>
      <c r="AI39" s="5" t="n"/>
    </row>
    <row r="40">
      <c r="A40" s="50" t="n"/>
      <c r="B40" s="4" t="n">
        <v>32</v>
      </c>
      <c r="C40" s="4" t="n"/>
      <c r="D40" s="7" t="n"/>
      <c r="E40" s="15" t="inlineStr">
        <is>
          <t>NA</t>
        </is>
      </c>
      <c r="F40" s="15" t="inlineStr">
        <is>
          <t>NA</t>
        </is>
      </c>
      <c r="G40" s="4" t="n"/>
      <c r="H40" s="4" t="n"/>
      <c r="I40" s="4" t="n"/>
      <c r="J40" s="4" t="n"/>
      <c r="K40" s="9" t="n">
        <v>0</v>
      </c>
      <c r="L40" s="4" t="n"/>
      <c r="M40" s="4" t="n"/>
      <c r="N40" s="4" t="n"/>
      <c r="O40" s="4" t="n"/>
      <c r="P40" s="9" t="n">
        <v>0</v>
      </c>
      <c r="Q40" s="4" t="n"/>
      <c r="R40" s="4" t="n"/>
      <c r="S40" s="4" t="n"/>
      <c r="T40" s="4" t="n"/>
      <c r="U40" s="9" t="n">
        <v>0</v>
      </c>
      <c r="V40" s="4" t="n"/>
      <c r="W40" s="4" t="n"/>
      <c r="X40" s="4" t="n"/>
      <c r="Y40" s="4" t="n"/>
      <c r="Z40" s="9" t="n">
        <v>0</v>
      </c>
      <c r="AA40" s="10">
        <f>AVERAGE(K40,P40,U40,Z40)</f>
        <v/>
      </c>
      <c r="AB40" s="11">
        <f>COUNTIF(G40:Z40,"P")</f>
        <v/>
      </c>
      <c r="AC40" s="12">
        <f>COUNTIF(G40:Z40,"L")</f>
        <v/>
      </c>
      <c r="AD40" s="13">
        <f>COUNTIF(G40:Z40,"A")</f>
        <v/>
      </c>
      <c r="AE40" s="14">
        <f>AB40+AC40</f>
        <v/>
      </c>
      <c r="AF40" s="8">
        <f>AE40/16*10</f>
        <v/>
      </c>
      <c r="AG40" s="8">
        <f>AA40</f>
        <v/>
      </c>
      <c r="AH40" s="8" t="n"/>
      <c r="AI40" s="5" t="n"/>
    </row>
    <row r="41">
      <c r="A41" s="50" t="n"/>
      <c r="B41" s="4" t="n">
        <v>33</v>
      </c>
      <c r="C41" s="4" t="n"/>
      <c r="D41" s="7" t="n"/>
      <c r="E41" s="15" t="inlineStr">
        <is>
          <t>NA</t>
        </is>
      </c>
      <c r="F41" s="15" t="inlineStr">
        <is>
          <t>NA</t>
        </is>
      </c>
      <c r="G41" s="4" t="n"/>
      <c r="H41" s="4" t="n"/>
      <c r="I41" s="4" t="n"/>
      <c r="J41" s="4" t="n"/>
      <c r="K41" s="9" t="n">
        <v>0</v>
      </c>
      <c r="L41" s="4" t="n"/>
      <c r="M41" s="4" t="n"/>
      <c r="N41" s="4" t="n"/>
      <c r="O41" s="4" t="n"/>
      <c r="P41" s="9" t="n">
        <v>0</v>
      </c>
      <c r="Q41" s="4" t="n"/>
      <c r="R41" s="4" t="n"/>
      <c r="S41" s="4" t="n"/>
      <c r="T41" s="4" t="n"/>
      <c r="U41" s="9" t="n">
        <v>0</v>
      </c>
      <c r="V41" s="4" t="n"/>
      <c r="W41" s="4" t="n"/>
      <c r="X41" s="4" t="n"/>
      <c r="Y41" s="4" t="n"/>
      <c r="Z41" s="9" t="n">
        <v>0</v>
      </c>
      <c r="AA41" s="10">
        <f>AVERAGE(K41,P41,U41,Z41)</f>
        <v/>
      </c>
      <c r="AB41" s="11">
        <f>COUNTIF(G41:Z41,"P")</f>
        <v/>
      </c>
      <c r="AC41" s="12">
        <f>COUNTIF(G41:Z41,"L")</f>
        <v/>
      </c>
      <c r="AD41" s="13">
        <f>COUNTIF(G41:Z41,"A")</f>
        <v/>
      </c>
      <c r="AE41" s="14">
        <f>AB41+AC41</f>
        <v/>
      </c>
      <c r="AF41" s="8">
        <f>AE41/16*10</f>
        <v/>
      </c>
      <c r="AG41" s="8">
        <f>AA41</f>
        <v/>
      </c>
      <c r="AH41" s="8" t="n"/>
      <c r="AI41" s="5" t="n"/>
    </row>
    <row r="42">
      <c r="A42" s="50" t="n"/>
      <c r="B42" s="4" t="n">
        <v>34</v>
      </c>
      <c r="C42" s="4" t="n"/>
      <c r="D42" s="7" t="n"/>
      <c r="E42" s="15" t="inlineStr">
        <is>
          <t>NA</t>
        </is>
      </c>
      <c r="F42" s="15" t="inlineStr">
        <is>
          <t>NA</t>
        </is>
      </c>
      <c r="G42" s="4" t="n"/>
      <c r="H42" s="4" t="n"/>
      <c r="I42" s="4" t="n"/>
      <c r="J42" s="4" t="n"/>
      <c r="K42" s="9" t="n">
        <v>0</v>
      </c>
      <c r="L42" s="4" t="n"/>
      <c r="M42" s="4" t="n"/>
      <c r="N42" s="4" t="n"/>
      <c r="O42" s="4" t="n"/>
      <c r="P42" s="9" t="n">
        <v>0</v>
      </c>
      <c r="Q42" s="4" t="n"/>
      <c r="R42" s="4" t="n"/>
      <c r="S42" s="4" t="n"/>
      <c r="T42" s="4" t="n"/>
      <c r="U42" s="9" t="n">
        <v>0</v>
      </c>
      <c r="V42" s="4" t="n"/>
      <c r="W42" s="4" t="n"/>
      <c r="X42" s="4" t="n"/>
      <c r="Y42" s="4" t="n"/>
      <c r="Z42" s="9" t="n">
        <v>0</v>
      </c>
      <c r="AA42" s="10">
        <f>AVERAGE(K42,P42,U42,Z42)</f>
        <v/>
      </c>
      <c r="AB42" s="11">
        <f>COUNTIF(G42:Z42,"P")</f>
        <v/>
      </c>
      <c r="AC42" s="12">
        <f>COUNTIF(G42:Z42,"L")</f>
        <v/>
      </c>
      <c r="AD42" s="13">
        <f>COUNTIF(G42:Z42,"A")</f>
        <v/>
      </c>
      <c r="AE42" s="14">
        <f>AB42+AC42</f>
        <v/>
      </c>
      <c r="AF42" s="8">
        <f>AE42/16*10</f>
        <v/>
      </c>
      <c r="AG42" s="8">
        <f>AA42</f>
        <v/>
      </c>
      <c r="AH42" s="8" t="n"/>
      <c r="AI42" s="5" t="n"/>
    </row>
    <row r="43">
      <c r="A43" s="50" t="n"/>
      <c r="B43" s="4" t="n">
        <v>35</v>
      </c>
      <c r="C43" s="4" t="n"/>
      <c r="D43" s="7" t="n"/>
      <c r="E43" s="15" t="inlineStr">
        <is>
          <t>NA</t>
        </is>
      </c>
      <c r="F43" s="15" t="inlineStr">
        <is>
          <t>NA</t>
        </is>
      </c>
      <c r="G43" s="4" t="n"/>
      <c r="H43" s="4" t="n"/>
      <c r="I43" s="4" t="n"/>
      <c r="J43" s="4" t="n"/>
      <c r="K43" s="9" t="n">
        <v>0</v>
      </c>
      <c r="L43" s="4" t="n"/>
      <c r="M43" s="4" t="n"/>
      <c r="N43" s="4" t="n"/>
      <c r="O43" s="4" t="n"/>
      <c r="P43" s="9" t="n">
        <v>0</v>
      </c>
      <c r="Q43" s="4" t="n"/>
      <c r="R43" s="4" t="n"/>
      <c r="S43" s="4" t="n"/>
      <c r="T43" s="4" t="n"/>
      <c r="U43" s="9" t="n">
        <v>0</v>
      </c>
      <c r="V43" s="4" t="n"/>
      <c r="W43" s="4" t="n"/>
      <c r="X43" s="4" t="n"/>
      <c r="Y43" s="4" t="n"/>
      <c r="Z43" s="9" t="n">
        <v>0</v>
      </c>
      <c r="AA43" s="10">
        <f>AVERAGE(K43,P43,U43,Z43)</f>
        <v/>
      </c>
      <c r="AB43" s="11">
        <f>COUNTIF(G43:Z43,"P")</f>
        <v/>
      </c>
      <c r="AC43" s="12">
        <f>COUNTIF(G43:Z43,"L")</f>
        <v/>
      </c>
      <c r="AD43" s="13">
        <f>COUNTIF(G43:Z43,"A")</f>
        <v/>
      </c>
      <c r="AE43" s="14">
        <f>AB43+AC43</f>
        <v/>
      </c>
      <c r="AF43" s="8">
        <f>AE43/16*10</f>
        <v/>
      </c>
      <c r="AG43" s="8">
        <f>AA43</f>
        <v/>
      </c>
      <c r="AH43" s="8" t="n"/>
      <c r="AI43" s="5" t="n"/>
    </row>
    <row r="44">
      <c r="A44" s="50" t="n"/>
      <c r="B44" s="4" t="n">
        <v>36</v>
      </c>
      <c r="C44" s="4" t="n"/>
      <c r="D44" s="7" t="n"/>
      <c r="E44" s="15" t="inlineStr">
        <is>
          <t>NA</t>
        </is>
      </c>
      <c r="F44" s="15" t="inlineStr">
        <is>
          <t>NA</t>
        </is>
      </c>
      <c r="G44" s="4" t="n"/>
      <c r="H44" s="4" t="n"/>
      <c r="I44" s="4" t="n"/>
      <c r="J44" s="4" t="n"/>
      <c r="K44" s="9" t="n">
        <v>0</v>
      </c>
      <c r="L44" s="4" t="n"/>
      <c r="M44" s="4" t="n"/>
      <c r="N44" s="4" t="n"/>
      <c r="O44" s="4" t="n"/>
      <c r="P44" s="9" t="n">
        <v>0</v>
      </c>
      <c r="Q44" s="4" t="n"/>
      <c r="R44" s="4" t="n"/>
      <c r="S44" s="4" t="n"/>
      <c r="T44" s="4" t="n"/>
      <c r="U44" s="9" t="n">
        <v>0</v>
      </c>
      <c r="V44" s="4" t="n"/>
      <c r="W44" s="4" t="n"/>
      <c r="X44" s="4" t="n"/>
      <c r="Y44" s="4" t="n"/>
      <c r="Z44" s="9" t="n">
        <v>0</v>
      </c>
      <c r="AA44" s="10">
        <f>AVERAGE(K44,P44,U44,Z44)</f>
        <v/>
      </c>
      <c r="AB44" s="11">
        <f>COUNTIF(G44:Z44,"P")</f>
        <v/>
      </c>
      <c r="AC44" s="12">
        <f>COUNTIF(G44:Z44,"L")</f>
        <v/>
      </c>
      <c r="AD44" s="13">
        <f>COUNTIF(G44:Z44,"A")</f>
        <v/>
      </c>
      <c r="AE44" s="14">
        <f>AB44+AC44</f>
        <v/>
      </c>
      <c r="AF44" s="8">
        <f>AE44/16*10</f>
        <v/>
      </c>
      <c r="AG44" s="8">
        <f>AA44</f>
        <v/>
      </c>
      <c r="AH44" s="8" t="n"/>
      <c r="AI44" s="5" t="n"/>
    </row>
    <row r="45">
      <c r="A45" s="50" t="n"/>
      <c r="B45" s="4" t="n">
        <v>37</v>
      </c>
      <c r="C45" s="4" t="n"/>
      <c r="D45" s="7" t="n"/>
      <c r="E45" s="15" t="inlineStr">
        <is>
          <t>NA</t>
        </is>
      </c>
      <c r="F45" s="15" t="inlineStr">
        <is>
          <t>NA</t>
        </is>
      </c>
      <c r="G45" s="4" t="n"/>
      <c r="H45" s="4" t="n"/>
      <c r="I45" s="4" t="n"/>
      <c r="J45" s="4" t="n"/>
      <c r="K45" s="9" t="n">
        <v>0</v>
      </c>
      <c r="L45" s="4" t="n"/>
      <c r="M45" s="4" t="n"/>
      <c r="N45" s="4" t="n"/>
      <c r="O45" s="4" t="n"/>
      <c r="P45" s="9" t="n">
        <v>0</v>
      </c>
      <c r="Q45" s="4" t="n"/>
      <c r="R45" s="4" t="n"/>
      <c r="S45" s="4" t="n"/>
      <c r="T45" s="4" t="n"/>
      <c r="U45" s="9" t="n">
        <v>0</v>
      </c>
      <c r="V45" s="4" t="n"/>
      <c r="W45" s="4" t="n"/>
      <c r="X45" s="4" t="n"/>
      <c r="Y45" s="4" t="n"/>
      <c r="Z45" s="9" t="n">
        <v>0</v>
      </c>
      <c r="AA45" s="10">
        <f>AVERAGE(K45,P45,U45,Z45)</f>
        <v/>
      </c>
      <c r="AB45" s="11">
        <f>COUNTIF(G45:Z45,"P")</f>
        <v/>
      </c>
      <c r="AC45" s="12">
        <f>COUNTIF(G45:Z45,"L")</f>
        <v/>
      </c>
      <c r="AD45" s="13">
        <f>COUNTIF(G45:Z45,"A")</f>
        <v/>
      </c>
      <c r="AE45" s="14">
        <f>AB45+AC45</f>
        <v/>
      </c>
      <c r="AF45" s="8">
        <f>AE45/16*10</f>
        <v/>
      </c>
      <c r="AG45" s="8">
        <f>AA45</f>
        <v/>
      </c>
      <c r="AH45" s="8" t="n"/>
      <c r="AI45" s="5" t="n"/>
    </row>
    <row r="46">
      <c r="A46" s="50" t="n"/>
      <c r="B46" s="4" t="n">
        <v>38</v>
      </c>
      <c r="C46" s="4" t="n"/>
      <c r="D46" s="7" t="n"/>
      <c r="E46" s="15" t="inlineStr">
        <is>
          <t>NA</t>
        </is>
      </c>
      <c r="F46" s="15" t="inlineStr">
        <is>
          <t>NA</t>
        </is>
      </c>
      <c r="G46" s="4" t="n"/>
      <c r="H46" s="4" t="n"/>
      <c r="I46" s="4" t="n"/>
      <c r="J46" s="4" t="n"/>
      <c r="K46" s="9" t="n">
        <v>0</v>
      </c>
      <c r="L46" s="4" t="n"/>
      <c r="M46" s="4" t="n"/>
      <c r="N46" s="4" t="n"/>
      <c r="O46" s="4" t="n"/>
      <c r="P46" s="9" t="n">
        <v>0</v>
      </c>
      <c r="Q46" s="4" t="n"/>
      <c r="R46" s="4" t="n"/>
      <c r="S46" s="4" t="n"/>
      <c r="T46" s="4" t="n"/>
      <c r="U46" s="9" t="n">
        <v>0</v>
      </c>
      <c r="V46" s="4" t="n"/>
      <c r="W46" s="4" t="n"/>
      <c r="X46" s="4" t="n"/>
      <c r="Y46" s="4" t="n"/>
      <c r="Z46" s="9" t="n">
        <v>0</v>
      </c>
      <c r="AA46" s="10">
        <f>AVERAGE(K46,P46,U46,Z46)</f>
        <v/>
      </c>
      <c r="AB46" s="11">
        <f>COUNTIF(G46:Z46,"P")</f>
        <v/>
      </c>
      <c r="AC46" s="12">
        <f>COUNTIF(G46:Z46,"L")</f>
        <v/>
      </c>
      <c r="AD46" s="13">
        <f>COUNTIF(G46:Z46,"A")</f>
        <v/>
      </c>
      <c r="AE46" s="14">
        <f>AB46+AC46</f>
        <v/>
      </c>
      <c r="AF46" s="8">
        <f>AE46/16*10</f>
        <v/>
      </c>
      <c r="AG46" s="8">
        <f>AA46</f>
        <v/>
      </c>
      <c r="AH46" s="8" t="n"/>
      <c r="AI46" s="5" t="n"/>
    </row>
    <row r="47">
      <c r="A47" s="50" t="n"/>
      <c r="B47" s="4" t="n">
        <v>39</v>
      </c>
      <c r="C47" s="4" t="n"/>
      <c r="D47" s="7" t="n"/>
      <c r="E47" s="15" t="inlineStr">
        <is>
          <t>NA</t>
        </is>
      </c>
      <c r="F47" s="15" t="inlineStr">
        <is>
          <t>NA</t>
        </is>
      </c>
      <c r="G47" s="4" t="n"/>
      <c r="H47" s="4" t="n"/>
      <c r="I47" s="4" t="n"/>
      <c r="J47" s="4" t="n"/>
      <c r="K47" s="9" t="n">
        <v>0</v>
      </c>
      <c r="L47" s="4" t="n"/>
      <c r="M47" s="4" t="n"/>
      <c r="N47" s="4" t="n"/>
      <c r="O47" s="4" t="n"/>
      <c r="P47" s="9" t="n">
        <v>0</v>
      </c>
      <c r="Q47" s="4" t="n"/>
      <c r="R47" s="4" t="n"/>
      <c r="S47" s="4" t="n"/>
      <c r="T47" s="4" t="n"/>
      <c r="U47" s="9" t="n">
        <v>0</v>
      </c>
      <c r="V47" s="4" t="n"/>
      <c r="W47" s="4" t="n"/>
      <c r="X47" s="4" t="n"/>
      <c r="Y47" s="4" t="n"/>
      <c r="Z47" s="9" t="n">
        <v>0</v>
      </c>
      <c r="AA47" s="10">
        <f>AVERAGE(K47,P47,U47,Z47)</f>
        <v/>
      </c>
      <c r="AB47" s="11">
        <f>COUNTIF(G47:Z47,"P")</f>
        <v/>
      </c>
      <c r="AC47" s="12">
        <f>COUNTIF(G47:Z47,"L")</f>
        <v/>
      </c>
      <c r="AD47" s="13">
        <f>COUNTIF(G47:Z47,"A")</f>
        <v/>
      </c>
      <c r="AE47" s="14">
        <f>AB47+AC47</f>
        <v/>
      </c>
      <c r="AF47" s="8">
        <f>AE47/16*10</f>
        <v/>
      </c>
      <c r="AG47" s="8">
        <f>AA47</f>
        <v/>
      </c>
      <c r="AH47" s="8" t="n"/>
      <c r="AI47" s="5" t="n"/>
    </row>
    <row r="48">
      <c r="A48" s="50" t="n"/>
      <c r="B48" s="4" t="n">
        <v>40</v>
      </c>
      <c r="C48" s="4" t="n"/>
      <c r="D48" s="7" t="n"/>
      <c r="E48" s="15" t="inlineStr">
        <is>
          <t>NA</t>
        </is>
      </c>
      <c r="F48" s="15" t="inlineStr">
        <is>
          <t>NA</t>
        </is>
      </c>
      <c r="G48" s="4" t="n"/>
      <c r="H48" s="4" t="n"/>
      <c r="I48" s="4" t="n"/>
      <c r="J48" s="4" t="n"/>
      <c r="K48" s="9" t="n">
        <v>0</v>
      </c>
      <c r="L48" s="4" t="n"/>
      <c r="M48" s="4" t="n"/>
      <c r="N48" s="4" t="n"/>
      <c r="O48" s="4" t="n"/>
      <c r="P48" s="9" t="n">
        <v>0</v>
      </c>
      <c r="Q48" s="4" t="n"/>
      <c r="R48" s="4" t="n"/>
      <c r="S48" s="4" t="n"/>
      <c r="T48" s="4" t="n"/>
      <c r="U48" s="9" t="n">
        <v>0</v>
      </c>
      <c r="V48" s="4" t="n"/>
      <c r="W48" s="4" t="n"/>
      <c r="X48" s="4" t="n"/>
      <c r="Y48" s="4" t="n"/>
      <c r="Z48" s="9" t="n">
        <v>0</v>
      </c>
      <c r="AA48" s="10">
        <f>AVERAGE(K48,P48,U48,Z48)</f>
        <v/>
      </c>
      <c r="AB48" s="11">
        <f>COUNTIF(G48:Z48,"P")</f>
        <v/>
      </c>
      <c r="AC48" s="12">
        <f>COUNTIF(G48:Z48,"L")</f>
        <v/>
      </c>
      <c r="AD48" s="13">
        <f>COUNTIF(G48:Z48,"A")</f>
        <v/>
      </c>
      <c r="AE48" s="14">
        <f>AB48+AC48</f>
        <v/>
      </c>
      <c r="AF48" s="8">
        <f>AE48/16*10</f>
        <v/>
      </c>
      <c r="AG48" s="8">
        <f>AA48</f>
        <v/>
      </c>
      <c r="AH48" s="8" t="n"/>
      <c r="AI48" s="5" t="n"/>
    </row>
    <row r="49">
      <c r="A49" s="50" t="n"/>
      <c r="B49" s="4" t="n">
        <v>41</v>
      </c>
      <c r="C49" s="4" t="n"/>
      <c r="D49" s="7" t="n"/>
      <c r="E49" s="15" t="inlineStr">
        <is>
          <t>NA</t>
        </is>
      </c>
      <c r="F49" s="15" t="inlineStr">
        <is>
          <t>NA</t>
        </is>
      </c>
      <c r="G49" s="4" t="n"/>
      <c r="H49" s="4" t="n"/>
      <c r="I49" s="4" t="n"/>
      <c r="J49" s="4" t="n"/>
      <c r="K49" s="9" t="n">
        <v>0</v>
      </c>
      <c r="L49" s="4" t="n"/>
      <c r="M49" s="4" t="n"/>
      <c r="N49" s="4" t="n"/>
      <c r="O49" s="4" t="n"/>
      <c r="P49" s="9" t="n">
        <v>0</v>
      </c>
      <c r="Q49" s="4" t="n"/>
      <c r="R49" s="4" t="n"/>
      <c r="S49" s="4" t="n"/>
      <c r="T49" s="4" t="n"/>
      <c r="U49" s="9" t="n">
        <v>0</v>
      </c>
      <c r="V49" s="4" t="n"/>
      <c r="W49" s="4" t="n"/>
      <c r="X49" s="4" t="n"/>
      <c r="Y49" s="4" t="n"/>
      <c r="Z49" s="9" t="n">
        <v>0</v>
      </c>
      <c r="AA49" s="10">
        <f>AVERAGE(K49,P49,U49,Z49)</f>
        <v/>
      </c>
      <c r="AB49" s="11">
        <f>COUNTIF(G49:Z49,"P")</f>
        <v/>
      </c>
      <c r="AC49" s="12">
        <f>COUNTIF(G49:Z49,"L")</f>
        <v/>
      </c>
      <c r="AD49" s="13">
        <f>COUNTIF(G49:Z49,"A")</f>
        <v/>
      </c>
      <c r="AE49" s="14">
        <f>AB49+AC49</f>
        <v/>
      </c>
      <c r="AF49" s="8">
        <f>AE49/16*10</f>
        <v/>
      </c>
      <c r="AG49" s="8">
        <f>AA49</f>
        <v/>
      </c>
      <c r="AH49" s="8" t="n"/>
      <c r="AI49" s="5" t="n"/>
    </row>
    <row r="50">
      <c r="A50" s="50" t="n"/>
      <c r="B50" s="4" t="n">
        <v>42</v>
      </c>
      <c r="C50" s="4" t="n"/>
      <c r="D50" s="7" t="n"/>
      <c r="E50" s="15" t="inlineStr">
        <is>
          <t>NA</t>
        </is>
      </c>
      <c r="F50" s="15" t="inlineStr">
        <is>
          <t>NA</t>
        </is>
      </c>
      <c r="G50" s="4" t="n"/>
      <c r="H50" s="4" t="n"/>
      <c r="I50" s="4" t="n"/>
      <c r="J50" s="4" t="n"/>
      <c r="K50" s="9" t="n">
        <v>0</v>
      </c>
      <c r="L50" s="4" t="n"/>
      <c r="M50" s="4" t="n"/>
      <c r="N50" s="4" t="n"/>
      <c r="O50" s="4" t="n"/>
      <c r="P50" s="9" t="n">
        <v>0</v>
      </c>
      <c r="Q50" s="4" t="n"/>
      <c r="R50" s="4" t="n"/>
      <c r="S50" s="4" t="n"/>
      <c r="T50" s="4" t="n"/>
      <c r="U50" s="9" t="n">
        <v>0</v>
      </c>
      <c r="V50" s="4" t="n"/>
      <c r="W50" s="4" t="n"/>
      <c r="X50" s="4" t="n"/>
      <c r="Y50" s="4" t="n"/>
      <c r="Z50" s="9" t="n">
        <v>0</v>
      </c>
      <c r="AA50" s="10">
        <f>AVERAGE(K50,P50,U50,Z50)</f>
        <v/>
      </c>
      <c r="AB50" s="11">
        <f>COUNTIF(G50:Z50,"P")</f>
        <v/>
      </c>
      <c r="AC50" s="12">
        <f>COUNTIF(G50:Z50,"L")</f>
        <v/>
      </c>
      <c r="AD50" s="13">
        <f>COUNTIF(G50:Z50,"A")</f>
        <v/>
      </c>
      <c r="AE50" s="14">
        <f>AB50+AC50</f>
        <v/>
      </c>
      <c r="AF50" s="8">
        <f>AE50/16*10</f>
        <v/>
      </c>
      <c r="AG50" s="8">
        <f>AA50</f>
        <v/>
      </c>
      <c r="AH50" s="8" t="n"/>
      <c r="AI50" s="5" t="n"/>
    </row>
    <row r="51">
      <c r="A51" s="50" t="n"/>
      <c r="B51" s="4" t="n">
        <v>43</v>
      </c>
      <c r="C51" s="4" t="n"/>
      <c r="D51" s="7" t="n"/>
      <c r="E51" s="15" t="inlineStr">
        <is>
          <t>NA</t>
        </is>
      </c>
      <c r="F51" s="15" t="inlineStr">
        <is>
          <t>NA</t>
        </is>
      </c>
      <c r="G51" s="4" t="n"/>
      <c r="H51" s="4" t="n"/>
      <c r="I51" s="4" t="n"/>
      <c r="J51" s="4" t="n"/>
      <c r="K51" s="9" t="n">
        <v>0</v>
      </c>
      <c r="L51" s="4" t="n"/>
      <c r="M51" s="4" t="n"/>
      <c r="N51" s="4" t="n"/>
      <c r="O51" s="4" t="n"/>
      <c r="P51" s="9" t="n">
        <v>0</v>
      </c>
      <c r="Q51" s="4" t="n"/>
      <c r="R51" s="4" t="n"/>
      <c r="S51" s="4" t="n"/>
      <c r="T51" s="4" t="n"/>
      <c r="U51" s="9" t="n">
        <v>0</v>
      </c>
      <c r="V51" s="4" t="n"/>
      <c r="W51" s="4" t="n"/>
      <c r="X51" s="4" t="n"/>
      <c r="Y51" s="4" t="n"/>
      <c r="Z51" s="9" t="n">
        <v>0</v>
      </c>
      <c r="AA51" s="10">
        <f>AVERAGE(K51,P51,U51,Z51)</f>
        <v/>
      </c>
      <c r="AB51" s="11">
        <f>COUNTIF(G51:Z51,"P")</f>
        <v/>
      </c>
      <c r="AC51" s="12">
        <f>COUNTIF(G51:Z51,"L")</f>
        <v/>
      </c>
      <c r="AD51" s="13">
        <f>COUNTIF(G51:Z51,"A")</f>
        <v/>
      </c>
      <c r="AE51" s="14">
        <f>AB51+AC51</f>
        <v/>
      </c>
      <c r="AF51" s="8">
        <f>AE51/16*10</f>
        <v/>
      </c>
      <c r="AG51" s="8">
        <f>AA51</f>
        <v/>
      </c>
      <c r="AH51" s="8" t="n"/>
      <c r="AI51" s="5" t="n"/>
    </row>
    <row r="52">
      <c r="A52" s="50" t="n"/>
      <c r="B52" s="4" t="n">
        <v>44</v>
      </c>
      <c r="C52" s="4" t="n"/>
      <c r="D52" s="7" t="n"/>
      <c r="E52" s="15" t="inlineStr">
        <is>
          <t>NA</t>
        </is>
      </c>
      <c r="F52" s="15" t="inlineStr">
        <is>
          <t>NA</t>
        </is>
      </c>
      <c r="G52" s="4" t="n"/>
      <c r="H52" s="4" t="n"/>
      <c r="I52" s="4" t="n"/>
      <c r="J52" s="4" t="n"/>
      <c r="K52" s="9" t="n">
        <v>0</v>
      </c>
      <c r="L52" s="4" t="n"/>
      <c r="M52" s="4" t="n"/>
      <c r="N52" s="4" t="n"/>
      <c r="O52" s="4" t="n"/>
      <c r="P52" s="9" t="n">
        <v>0</v>
      </c>
      <c r="Q52" s="4" t="n"/>
      <c r="R52" s="4" t="n"/>
      <c r="S52" s="4" t="n"/>
      <c r="T52" s="4" t="n"/>
      <c r="U52" s="9" t="n">
        <v>0</v>
      </c>
      <c r="V52" s="4" t="n"/>
      <c r="W52" s="4" t="n"/>
      <c r="X52" s="4" t="n"/>
      <c r="Y52" s="4" t="n"/>
      <c r="Z52" s="9" t="n">
        <v>0</v>
      </c>
      <c r="AA52" s="10">
        <f>AVERAGE(K52,P52,U52,Z52)</f>
        <v/>
      </c>
      <c r="AB52" s="11">
        <f>COUNTIF(G52:Z52,"P")</f>
        <v/>
      </c>
      <c r="AC52" s="12">
        <f>COUNTIF(G52:Z52,"L")</f>
        <v/>
      </c>
      <c r="AD52" s="13">
        <f>COUNTIF(G52:Z52,"A")</f>
        <v/>
      </c>
      <c r="AE52" s="14">
        <f>AB52+AC52</f>
        <v/>
      </c>
      <c r="AF52" s="8">
        <f>AE52/16*10</f>
        <v/>
      </c>
      <c r="AG52" s="8">
        <f>AA52</f>
        <v/>
      </c>
      <c r="AH52" s="8" t="n"/>
      <c r="AI52" s="5" t="n"/>
    </row>
    <row r="53">
      <c r="A53" s="50" t="n"/>
      <c r="B53" s="4" t="n">
        <v>45</v>
      </c>
      <c r="C53" s="4" t="n"/>
      <c r="D53" s="7" t="n"/>
      <c r="E53" s="15" t="inlineStr">
        <is>
          <t>NA</t>
        </is>
      </c>
      <c r="F53" s="15" t="inlineStr">
        <is>
          <t>NA</t>
        </is>
      </c>
      <c r="G53" s="4" t="n"/>
      <c r="H53" s="4" t="n"/>
      <c r="I53" s="4" t="n"/>
      <c r="J53" s="4" t="n"/>
      <c r="K53" s="9" t="n">
        <v>0</v>
      </c>
      <c r="L53" s="4" t="n"/>
      <c r="M53" s="4" t="n"/>
      <c r="N53" s="4" t="n"/>
      <c r="O53" s="4" t="n"/>
      <c r="P53" s="9" t="n">
        <v>0</v>
      </c>
      <c r="Q53" s="4" t="n"/>
      <c r="R53" s="4" t="n"/>
      <c r="S53" s="4" t="n"/>
      <c r="T53" s="4" t="n"/>
      <c r="U53" s="9" t="n">
        <v>0</v>
      </c>
      <c r="V53" s="4" t="n"/>
      <c r="W53" s="4" t="n"/>
      <c r="X53" s="4" t="n"/>
      <c r="Y53" s="4" t="n"/>
      <c r="Z53" s="9" t="n">
        <v>0</v>
      </c>
      <c r="AA53" s="10">
        <f>AVERAGE(K53,P53,U53,Z53)</f>
        <v/>
      </c>
      <c r="AB53" s="11">
        <f>COUNTIF(G53:Z53,"P")</f>
        <v/>
      </c>
      <c r="AC53" s="12">
        <f>COUNTIF(G53:Z53,"L")</f>
        <v/>
      </c>
      <c r="AD53" s="13">
        <f>COUNTIF(G53:Z53,"A")</f>
        <v/>
      </c>
      <c r="AE53" s="14">
        <f>AB53+AC53</f>
        <v/>
      </c>
      <c r="AF53" s="8">
        <f>AE53/16*10</f>
        <v/>
      </c>
      <c r="AG53" s="8">
        <f>AA53</f>
        <v/>
      </c>
      <c r="AH53" s="8" t="n"/>
      <c r="AI53" s="5" t="n"/>
    </row>
    <row r="54">
      <c r="A54" s="50" t="n"/>
      <c r="B54" s="4" t="n">
        <v>46</v>
      </c>
      <c r="C54" s="4" t="n"/>
      <c r="D54" s="7" t="n"/>
      <c r="E54" s="15" t="inlineStr">
        <is>
          <t>NA</t>
        </is>
      </c>
      <c r="F54" s="15" t="inlineStr">
        <is>
          <t>NA</t>
        </is>
      </c>
      <c r="G54" s="4" t="n"/>
      <c r="H54" s="4" t="n"/>
      <c r="I54" s="4" t="n"/>
      <c r="J54" s="4" t="n"/>
      <c r="K54" s="9" t="n">
        <v>0</v>
      </c>
      <c r="L54" s="4" t="n"/>
      <c r="M54" s="4" t="n"/>
      <c r="N54" s="4" t="n"/>
      <c r="O54" s="4" t="n"/>
      <c r="P54" s="9" t="n">
        <v>0</v>
      </c>
      <c r="Q54" s="4" t="n"/>
      <c r="R54" s="4" t="n"/>
      <c r="S54" s="4" t="n"/>
      <c r="T54" s="4" t="n"/>
      <c r="U54" s="9" t="n">
        <v>0</v>
      </c>
      <c r="V54" s="4" t="n"/>
      <c r="W54" s="4" t="n"/>
      <c r="X54" s="4" t="n"/>
      <c r="Y54" s="4" t="n"/>
      <c r="Z54" s="9" t="n">
        <v>0</v>
      </c>
      <c r="AA54" s="10">
        <f>AVERAGE(K54,P54,U54,Z54)</f>
        <v/>
      </c>
      <c r="AB54" s="11">
        <f>COUNTIF(G54:Z54,"P")</f>
        <v/>
      </c>
      <c r="AC54" s="12">
        <f>COUNTIF(G54:Z54,"L")</f>
        <v/>
      </c>
      <c r="AD54" s="13">
        <f>COUNTIF(G54:Z54,"A")</f>
        <v/>
      </c>
      <c r="AE54" s="14">
        <f>AB54+AC54</f>
        <v/>
      </c>
      <c r="AF54" s="8">
        <f>AE54/16*10</f>
        <v/>
      </c>
      <c r="AG54" s="8">
        <f>AA54</f>
        <v/>
      </c>
      <c r="AH54" s="8" t="n"/>
      <c r="AI54" s="5" t="n"/>
    </row>
    <row r="55">
      <c r="A55" s="50" t="n"/>
      <c r="B55" s="4" t="n">
        <v>47</v>
      </c>
      <c r="C55" s="4" t="n"/>
      <c r="D55" s="7" t="n"/>
      <c r="E55" s="15" t="inlineStr">
        <is>
          <t>NA</t>
        </is>
      </c>
      <c r="F55" s="15" t="inlineStr">
        <is>
          <t>NA</t>
        </is>
      </c>
      <c r="G55" s="4" t="n"/>
      <c r="H55" s="4" t="n"/>
      <c r="I55" s="4" t="n"/>
      <c r="J55" s="4" t="n"/>
      <c r="K55" s="9" t="n">
        <v>0</v>
      </c>
      <c r="L55" s="4" t="n"/>
      <c r="M55" s="4" t="n"/>
      <c r="N55" s="4" t="n"/>
      <c r="O55" s="4" t="n"/>
      <c r="P55" s="9" t="n">
        <v>0</v>
      </c>
      <c r="Q55" s="4" t="n"/>
      <c r="R55" s="4" t="n"/>
      <c r="S55" s="4" t="n"/>
      <c r="T55" s="4" t="n"/>
      <c r="U55" s="9" t="n">
        <v>0</v>
      </c>
      <c r="V55" s="4" t="n"/>
      <c r="W55" s="4" t="n"/>
      <c r="X55" s="4" t="n"/>
      <c r="Y55" s="4" t="n"/>
      <c r="Z55" s="9" t="n">
        <v>0</v>
      </c>
      <c r="AA55" s="10">
        <f>AVERAGE(K55,P55,U55,Z55)</f>
        <v/>
      </c>
      <c r="AB55" s="11">
        <f>COUNTIF(G55:Z55,"P")</f>
        <v/>
      </c>
      <c r="AC55" s="12">
        <f>COUNTIF(G55:Z55,"L")</f>
        <v/>
      </c>
      <c r="AD55" s="13">
        <f>COUNTIF(G55:Z55,"A")</f>
        <v/>
      </c>
      <c r="AE55" s="14">
        <f>AB55+AC55</f>
        <v/>
      </c>
      <c r="AF55" s="8">
        <f>AE55/16*10</f>
        <v/>
      </c>
      <c r="AG55" s="8">
        <f>AA55</f>
        <v/>
      </c>
      <c r="AH55" s="8" t="n"/>
      <c r="AI55" s="5" t="n"/>
    </row>
    <row r="56">
      <c r="A56" s="50" t="n"/>
      <c r="B56" s="4" t="n">
        <v>48</v>
      </c>
      <c r="C56" s="4" t="n"/>
      <c r="D56" s="7" t="n"/>
      <c r="E56" s="15" t="inlineStr">
        <is>
          <t>NA</t>
        </is>
      </c>
      <c r="F56" s="15" t="inlineStr">
        <is>
          <t>NA</t>
        </is>
      </c>
      <c r="G56" s="4" t="n"/>
      <c r="H56" s="4" t="n"/>
      <c r="I56" s="4" t="n"/>
      <c r="J56" s="4" t="n"/>
      <c r="K56" s="9" t="n">
        <v>0</v>
      </c>
      <c r="L56" s="4" t="n"/>
      <c r="M56" s="4" t="n"/>
      <c r="N56" s="4" t="n"/>
      <c r="O56" s="4" t="n"/>
      <c r="P56" s="9" t="n">
        <v>0</v>
      </c>
      <c r="Q56" s="4" t="n"/>
      <c r="R56" s="4" t="n"/>
      <c r="S56" s="4" t="n"/>
      <c r="T56" s="4" t="n"/>
      <c r="U56" s="9" t="n">
        <v>0</v>
      </c>
      <c r="V56" s="4" t="n"/>
      <c r="W56" s="4" t="n"/>
      <c r="X56" s="4" t="n"/>
      <c r="Y56" s="4" t="n"/>
      <c r="Z56" s="9" t="n">
        <v>0</v>
      </c>
      <c r="AA56" s="10">
        <f>AVERAGE(K56,P56,U56,Z56)</f>
        <v/>
      </c>
      <c r="AB56" s="11">
        <f>COUNTIF(G56:Z56,"P")</f>
        <v/>
      </c>
      <c r="AC56" s="12">
        <f>COUNTIF(G56:Z56,"L")</f>
        <v/>
      </c>
      <c r="AD56" s="13">
        <f>COUNTIF(G56:Z56,"A")</f>
        <v/>
      </c>
      <c r="AE56" s="14">
        <f>AB56+AC56</f>
        <v/>
      </c>
      <c r="AF56" s="8">
        <f>AE56/16*10</f>
        <v/>
      </c>
      <c r="AG56" s="8">
        <f>AA56</f>
        <v/>
      </c>
      <c r="AH56" s="8" t="n"/>
      <c r="AI56" s="5" t="n"/>
    </row>
    <row r="57">
      <c r="A57" s="50" t="n"/>
      <c r="B57" s="4" t="n">
        <v>49</v>
      </c>
      <c r="C57" s="4" t="n"/>
      <c r="D57" s="7" t="n"/>
      <c r="E57" s="15" t="inlineStr">
        <is>
          <t>NA</t>
        </is>
      </c>
      <c r="F57" s="15" t="inlineStr">
        <is>
          <t>NA</t>
        </is>
      </c>
      <c r="G57" s="4" t="n"/>
      <c r="H57" s="4" t="n"/>
      <c r="I57" s="4" t="n"/>
      <c r="J57" s="4" t="n"/>
      <c r="K57" s="9" t="n">
        <v>0</v>
      </c>
      <c r="L57" s="4" t="n"/>
      <c r="M57" s="4" t="n"/>
      <c r="N57" s="4" t="n"/>
      <c r="O57" s="4" t="n"/>
      <c r="P57" s="9" t="n">
        <v>0</v>
      </c>
      <c r="Q57" s="4" t="n"/>
      <c r="R57" s="4" t="n"/>
      <c r="S57" s="4" t="n"/>
      <c r="T57" s="4" t="n"/>
      <c r="U57" s="9" t="n">
        <v>0</v>
      </c>
      <c r="V57" s="4" t="n"/>
      <c r="W57" s="4" t="n"/>
      <c r="X57" s="4" t="n"/>
      <c r="Y57" s="4" t="n"/>
      <c r="Z57" s="9" t="n">
        <v>0</v>
      </c>
      <c r="AA57" s="10">
        <f>AVERAGE(K57,P57,U57,Z57)</f>
        <v/>
      </c>
      <c r="AB57" s="11">
        <f>COUNTIF(G57:Z57,"P")</f>
        <v/>
      </c>
      <c r="AC57" s="12">
        <f>COUNTIF(G57:Z57,"L")</f>
        <v/>
      </c>
      <c r="AD57" s="13">
        <f>COUNTIF(G57:Z57,"A")</f>
        <v/>
      </c>
      <c r="AE57" s="14">
        <f>AB57+AC57</f>
        <v/>
      </c>
      <c r="AF57" s="8">
        <f>AE57/16*10</f>
        <v/>
      </c>
      <c r="AG57" s="8">
        <f>AA57</f>
        <v/>
      </c>
      <c r="AH57" s="8" t="n"/>
      <c r="AI57" s="5" t="n"/>
    </row>
    <row r="58">
      <c r="A58" s="50" t="n"/>
      <c r="B58" s="4" t="n">
        <v>50</v>
      </c>
      <c r="C58" s="4" t="n"/>
      <c r="D58" s="7" t="n"/>
      <c r="E58" s="15" t="inlineStr">
        <is>
          <t>NA</t>
        </is>
      </c>
      <c r="F58" s="15" t="inlineStr">
        <is>
          <t>NA</t>
        </is>
      </c>
      <c r="G58" s="4" t="n"/>
      <c r="H58" s="4" t="n"/>
      <c r="I58" s="4" t="n"/>
      <c r="J58" s="4" t="n"/>
      <c r="K58" s="9" t="n">
        <v>0</v>
      </c>
      <c r="L58" s="4" t="n"/>
      <c r="M58" s="4" t="n"/>
      <c r="N58" s="4" t="n"/>
      <c r="O58" s="4" t="n"/>
      <c r="P58" s="9" t="n">
        <v>0</v>
      </c>
      <c r="Q58" s="4" t="n"/>
      <c r="R58" s="4" t="n"/>
      <c r="S58" s="4" t="n"/>
      <c r="T58" s="4" t="n"/>
      <c r="U58" s="9" t="n">
        <v>0</v>
      </c>
      <c r="V58" s="4" t="n"/>
      <c r="W58" s="4" t="n"/>
      <c r="X58" s="4" t="n"/>
      <c r="Y58" s="4" t="n"/>
      <c r="Z58" s="9" t="n">
        <v>0</v>
      </c>
      <c r="AA58" s="10">
        <f>AVERAGE(K58,P58,U58,Z58)</f>
        <v/>
      </c>
      <c r="AB58" s="11">
        <f>COUNTIF(G58:Z58,"P")</f>
        <v/>
      </c>
      <c r="AC58" s="12">
        <f>COUNTIF(G58:Z58,"L")</f>
        <v/>
      </c>
      <c r="AD58" s="13">
        <f>COUNTIF(G58:Z58,"A")</f>
        <v/>
      </c>
      <c r="AE58" s="14">
        <f>AB58+AC58</f>
        <v/>
      </c>
      <c r="AF58" s="8">
        <f>AE58/16*10</f>
        <v/>
      </c>
      <c r="AG58" s="8">
        <f>AA58</f>
        <v/>
      </c>
      <c r="AH58" s="8" t="n"/>
      <c r="AI58" s="5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  <c r="AH59" s="50" t="n"/>
      <c r="AI59" s="50" t="n"/>
    </row>
  </sheetData>
  <mergeCells count="23">
    <mergeCell ref="Q7:R7"/>
    <mergeCell ref="L7:M7"/>
    <mergeCell ref="N7:O7"/>
    <mergeCell ref="A3:C3"/>
    <mergeCell ref="V8:W8"/>
    <mergeCell ref="G8:H8"/>
    <mergeCell ref="X8:Y8"/>
    <mergeCell ref="E8:F8"/>
    <mergeCell ref="A2:C2"/>
    <mergeCell ref="Q8:R8"/>
    <mergeCell ref="S8:T8"/>
    <mergeCell ref="X7:Y7"/>
    <mergeCell ref="A5:C5"/>
    <mergeCell ref="G7:H7"/>
    <mergeCell ref="S7:T7"/>
    <mergeCell ref="I7:J7"/>
    <mergeCell ref="A4:C4"/>
    <mergeCell ref="L8:M8"/>
    <mergeCell ref="N8:O8"/>
    <mergeCell ref="I8:J8"/>
    <mergeCell ref="V7:W7"/>
    <mergeCell ref="E7:F7"/>
    <mergeCell ref="A6:C6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tabColor rgb="FF92D050"/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ColWidth="9.140625" defaultRowHeight="15"/>
  <cols>
    <col width="3.7109375" customWidth="1" style="1" min="1" max="1"/>
    <col width="4.85546875" customWidth="1" style="2" min="2" max="2"/>
    <col width="9.42578125" customWidth="1" style="2" min="3" max="3"/>
    <col width="22" customWidth="1" style="1" min="4" max="5"/>
    <col width="16" bestFit="1" customWidth="1" style="1" min="6" max="6"/>
    <col width="22.42578125" customWidth="1" style="1" min="7" max="7"/>
    <col width="21" bestFit="1" customWidth="1" style="1" min="8" max="8"/>
    <col width="9.140625" customWidth="1" style="1" min="9" max="16384"/>
  </cols>
  <sheetData>
    <row r="1" ht="21.75" customHeight="1">
      <c r="A1" s="26" t="n"/>
      <c r="B1" s="53" t="n"/>
      <c r="C1" s="93" t="inlineStr">
        <is>
          <t>Section:</t>
        </is>
      </c>
      <c r="D1" s="55" t="inlineStr">
        <is>
          <t>4E</t>
        </is>
      </c>
      <c r="E1" s="58" t="inlineStr">
        <is>
          <t>Marks Recording Sheet</t>
        </is>
      </c>
      <c r="F1" s="32" t="n"/>
      <c r="G1" s="32" t="n"/>
      <c r="H1" s="26" t="n"/>
      <c r="I1" s="26" t="n"/>
    </row>
    <row r="2" ht="20.25" customHeight="1">
      <c r="A2" s="93" t="inlineStr">
        <is>
          <t>Teacher Name:</t>
        </is>
      </c>
      <c r="B2" s="94" t="n"/>
      <c r="C2" s="95" t="n"/>
      <c r="D2" s="55">
        <f>'G4- Attendance'!D2</f>
        <v/>
      </c>
      <c r="E2" s="35">
        <f>'G4- Attendance'!E2</f>
        <v/>
      </c>
      <c r="F2" s="26" t="n"/>
      <c r="G2" s="49" t="n"/>
      <c r="H2" s="26" t="n"/>
      <c r="I2" s="26" t="n"/>
    </row>
    <row r="3" ht="21" customHeight="1">
      <c r="A3" s="93" t="inlineStr">
        <is>
          <t>School ID:</t>
        </is>
      </c>
      <c r="B3" s="94" t="n"/>
      <c r="C3" s="95" t="n"/>
      <c r="D3" s="56">
        <f>'G4- Attendance'!D3</f>
        <v/>
      </c>
      <c r="E3" s="59">
        <f>'G4- Attendance'!E3</f>
        <v/>
      </c>
      <c r="F3" s="26" t="n"/>
      <c r="G3" s="26" t="n"/>
      <c r="H3" s="26" t="n"/>
      <c r="I3" s="26" t="n"/>
    </row>
    <row r="4" ht="23.25" customFormat="1" customHeight="1" s="23">
      <c r="A4" s="93" t="inlineStr">
        <is>
          <t>School Name:</t>
        </is>
      </c>
      <c r="B4" s="94" t="n"/>
      <c r="C4" s="95" t="n"/>
      <c r="D4" s="56">
        <f>'G4- Attendance'!D4</f>
        <v/>
      </c>
      <c r="E4" s="59">
        <f>'G4- Attendance'!E4</f>
        <v/>
      </c>
      <c r="F4" s="60" t="n"/>
      <c r="G4" s="60" t="n"/>
      <c r="H4" s="61" t="n"/>
      <c r="I4" s="61" t="n"/>
    </row>
    <row r="5" ht="18" customHeight="1">
      <c r="A5" s="93" t="inlineStr">
        <is>
          <t>Emirate/Area:</t>
        </is>
      </c>
      <c r="B5" s="94" t="n"/>
      <c r="C5" s="95" t="n"/>
      <c r="D5" s="56">
        <f>'G4- Attendance'!D5</f>
        <v/>
      </c>
      <c r="E5" s="62" t="n"/>
      <c r="F5" s="62" t="n"/>
      <c r="G5" s="62" t="n"/>
      <c r="H5" s="26" t="n"/>
      <c r="I5" s="26" t="n"/>
    </row>
    <row r="6" ht="41.25" customHeight="1">
      <c r="A6" s="93" t="inlineStr">
        <is>
          <t>Council:</t>
        </is>
      </c>
      <c r="B6" s="94" t="n"/>
      <c r="C6" s="95" t="n"/>
      <c r="D6" s="57">
        <f>'G4- Attendance'!D6</f>
        <v/>
      </c>
      <c r="E6" s="49" t="n"/>
      <c r="F6" s="63" t="n"/>
      <c r="G6" s="64" t="n"/>
      <c r="H6" s="64" t="n"/>
      <c r="I6" s="26" t="n"/>
    </row>
    <row r="7" ht="28.5" customHeight="1">
      <c r="A7" s="32" t="n"/>
      <c r="B7" s="27" t="n"/>
      <c r="C7" s="48" t="n"/>
      <c r="D7" s="49" t="n"/>
      <c r="E7" s="75" t="inlineStr">
        <is>
          <t>School-based Assessment (SB1)</t>
        </is>
      </c>
      <c r="F7" s="80" t="inlineStr">
        <is>
          <t>Attendance/
Effort</t>
        </is>
      </c>
      <c r="G7" s="76" t="inlineStr">
        <is>
          <t>School-based Total</t>
        </is>
      </c>
      <c r="H7" s="77" t="inlineStr">
        <is>
          <t>End of Term Total</t>
        </is>
      </c>
      <c r="I7" s="26" t="n"/>
      <c r="K7" s="3" t="n"/>
    </row>
    <row r="8" ht="15.75" customHeight="1">
      <c r="A8" s="26" t="n"/>
      <c r="B8" s="51" t="inlineStr">
        <is>
          <t>No</t>
        </is>
      </c>
      <c r="C8" s="51" t="inlineStr">
        <is>
          <t>Student #</t>
        </is>
      </c>
      <c r="D8" s="78" t="inlineStr">
        <is>
          <t>Student Name</t>
        </is>
      </c>
      <c r="E8" s="19" t="inlineStr">
        <is>
          <t>80 marks</t>
        </is>
      </c>
      <c r="F8" s="18" t="inlineStr">
        <is>
          <t>20 marks</t>
        </is>
      </c>
      <c r="G8" s="17" t="inlineStr">
        <is>
          <t>100 marks</t>
        </is>
      </c>
      <c r="H8" s="77" t="inlineStr">
        <is>
          <t>100 marks</t>
        </is>
      </c>
      <c r="I8" s="26" t="n"/>
    </row>
    <row r="9">
      <c r="A9" s="50" t="n"/>
      <c r="B9" s="22" t="n">
        <v>1</v>
      </c>
      <c r="C9" s="22" t="n">
        <v>1</v>
      </c>
      <c r="D9" s="25" t="inlineStr">
        <is>
          <t>أفراح محمد غازي عبده أحمد</t>
        </is>
      </c>
      <c r="E9" s="6" t="n">
        <v>80</v>
      </c>
      <c r="F9" s="8" t="n">
        <v>20</v>
      </c>
      <c r="G9" s="16" t="n">
        <v>100</v>
      </c>
      <c r="H9" s="79" t="n">
        <v>99</v>
      </c>
      <c r="I9" s="26" t="n"/>
    </row>
    <row r="10">
      <c r="A10" s="50" t="n"/>
      <c r="B10" s="22" t="n">
        <v>2</v>
      </c>
      <c r="C10" s="22" t="n">
        <v>2</v>
      </c>
      <c r="D10" s="25" t="inlineStr">
        <is>
          <t>حامد احمد سالم حميد الريسى</t>
        </is>
      </c>
      <c r="E10" s="6" t="n">
        <v>80</v>
      </c>
      <c r="F10" s="8" t="n">
        <v>19</v>
      </c>
      <c r="G10" s="16" t="n">
        <v>99</v>
      </c>
      <c r="H10" s="79" t="n">
        <v>77</v>
      </c>
      <c r="I10" s="26" t="n"/>
    </row>
    <row r="11">
      <c r="A11" s="50" t="n"/>
      <c r="B11" s="22" t="n">
        <v>3</v>
      </c>
      <c r="C11" s="22" t="n">
        <v>3</v>
      </c>
      <c r="D11" s="25" t="inlineStr">
        <is>
          <t>حامد يوسف مفتاح حمدان الزستاقي</t>
        </is>
      </c>
      <c r="E11" s="6" t="n">
        <v>66</v>
      </c>
      <c r="F11" s="8" t="n">
        <v>19</v>
      </c>
      <c r="G11" s="16" t="n">
        <v>85</v>
      </c>
      <c r="H11" s="79" t="n">
        <v>55</v>
      </c>
      <c r="I11" s="26" t="n"/>
    </row>
    <row r="12">
      <c r="A12" s="50" t="n"/>
      <c r="B12" s="22" t="n">
        <v>4</v>
      </c>
      <c r="C12" s="22" t="n">
        <v>4</v>
      </c>
      <c r="D12" s="25" t="inlineStr">
        <is>
          <t>حصه خالد حمد على الغفيلى</t>
        </is>
      </c>
      <c r="E12" s="6" t="n">
        <v>80</v>
      </c>
      <c r="F12" s="8" t="n">
        <v>18</v>
      </c>
      <c r="G12" s="16" t="n">
        <v>98</v>
      </c>
      <c r="H12" s="79" t="n">
        <v>89</v>
      </c>
      <c r="I12" s="26" t="n"/>
    </row>
    <row r="13">
      <c r="A13" s="50" t="n"/>
      <c r="B13" s="22" t="n">
        <v>5</v>
      </c>
      <c r="C13" s="22" t="n">
        <v>5</v>
      </c>
      <c r="D13" s="25" t="inlineStr">
        <is>
          <t>حمدان طلال ربيع عيد الريسي</t>
        </is>
      </c>
      <c r="E13" s="6" t="n">
        <v>70</v>
      </c>
      <c r="F13" s="8" t="n">
        <v>18</v>
      </c>
      <c r="G13" s="16" t="n">
        <v>88</v>
      </c>
      <c r="H13" s="79" t="n">
        <v>88</v>
      </c>
      <c r="I13" s="26" t="n"/>
    </row>
    <row r="14">
      <c r="A14" s="50" t="n"/>
      <c r="B14" s="22" t="n">
        <v>6</v>
      </c>
      <c r="C14" s="22" t="n">
        <v>6</v>
      </c>
      <c r="D14" s="25" t="inlineStr">
        <is>
          <t>حمود محمد حمود عبدالله الكعبي</t>
        </is>
      </c>
      <c r="E14" s="6" t="n">
        <v>80</v>
      </c>
      <c r="F14" s="8" t="n">
        <v>20</v>
      </c>
      <c r="G14" s="16" t="n">
        <v>100</v>
      </c>
      <c r="H14" s="79" t="n">
        <v>100</v>
      </c>
      <c r="I14" s="26" t="n"/>
    </row>
    <row r="15">
      <c r="A15" s="50" t="n"/>
      <c r="B15" s="22" t="n">
        <v>7</v>
      </c>
      <c r="C15" s="22" t="n">
        <v>7</v>
      </c>
      <c r="D15" s="25" t="inlineStr">
        <is>
          <t>دانه هيثم سالم البرك العامري</t>
        </is>
      </c>
      <c r="E15" s="6" t="n">
        <v>80</v>
      </c>
      <c r="F15" s="8" t="n">
        <v>18</v>
      </c>
      <c r="G15" s="16" t="n">
        <v>98</v>
      </c>
      <c r="H15" s="79" t="n">
        <v>88</v>
      </c>
      <c r="I15" s="26" t="n"/>
    </row>
    <row r="16">
      <c r="A16" s="50" t="n"/>
      <c r="B16" s="22" t="n">
        <v>8</v>
      </c>
      <c r="C16" s="22" t="n">
        <v>8</v>
      </c>
      <c r="D16" s="25" t="inlineStr">
        <is>
          <t>راشد سعد عليان حمدان الشامسى</t>
        </is>
      </c>
      <c r="E16" s="6" t="n">
        <v>80</v>
      </c>
      <c r="F16" s="8" t="n">
        <v>20</v>
      </c>
      <c r="G16" s="16" t="n">
        <v>100</v>
      </c>
      <c r="H16" s="79" t="n">
        <v>100</v>
      </c>
      <c r="I16" s="26" t="n"/>
    </row>
    <row r="17">
      <c r="A17" s="50" t="n"/>
      <c r="B17" s="22" t="n">
        <v>9</v>
      </c>
      <c r="C17" s="22" t="n">
        <v>9</v>
      </c>
      <c r="D17" s="25" t="inlineStr">
        <is>
          <t>راشد عبدالعزيز مسعود زايد الحراصى</t>
        </is>
      </c>
      <c r="E17" s="6" t="n">
        <v>73</v>
      </c>
      <c r="F17" s="8" t="n">
        <v>20</v>
      </c>
      <c r="G17" s="16" t="n">
        <v>93</v>
      </c>
      <c r="H17" s="79" t="n">
        <v>91</v>
      </c>
      <c r="I17" s="26" t="n"/>
    </row>
    <row r="18">
      <c r="A18" s="50" t="n"/>
      <c r="B18" s="22" t="n">
        <v>10</v>
      </c>
      <c r="C18" s="22" t="n">
        <v>10</v>
      </c>
      <c r="D18" s="25" t="inlineStr">
        <is>
          <t>ساره زايد عبدالله علي عوض</t>
        </is>
      </c>
      <c r="E18" s="6" t="n">
        <v>80</v>
      </c>
      <c r="F18" s="8" t="n">
        <v>18</v>
      </c>
      <c r="G18" s="16" t="n">
        <v>98</v>
      </c>
      <c r="H18" s="79" t="n">
        <v>92</v>
      </c>
      <c r="I18" s="26" t="n"/>
    </row>
    <row r="19">
      <c r="A19" s="50" t="n"/>
      <c r="B19" s="22" t="n">
        <v>11</v>
      </c>
      <c r="C19" s="22" t="n">
        <v>11</v>
      </c>
      <c r="D19" s="25" t="inlineStr">
        <is>
          <t>ساره وراث ولي محمد غلام محمد</t>
        </is>
      </c>
      <c r="E19" s="6" t="n">
        <v>73</v>
      </c>
      <c r="F19" s="8" t="n">
        <v>18</v>
      </c>
      <c r="G19" s="16" t="n">
        <v>91</v>
      </c>
      <c r="H19" s="79" t="n">
        <v>89</v>
      </c>
      <c r="I19" s="26" t="n"/>
    </row>
    <row r="20">
      <c r="A20" s="50" t="n"/>
      <c r="B20" s="22" t="n">
        <v>12</v>
      </c>
      <c r="C20" s="22" t="n">
        <v>12</v>
      </c>
      <c r="D20" s="25" t="inlineStr">
        <is>
          <t>سعود بن سالم بن علي بن سليمان الشامسي</t>
        </is>
      </c>
      <c r="E20" s="6" t="n">
        <v>77</v>
      </c>
      <c r="F20" s="8" t="n">
        <v>19</v>
      </c>
      <c r="G20" s="16" t="n">
        <v>96</v>
      </c>
      <c r="H20" s="79" t="n">
        <v>96</v>
      </c>
      <c r="I20" s="26" t="n"/>
    </row>
    <row r="21">
      <c r="A21" s="50" t="n"/>
      <c r="B21" s="22" t="n">
        <v>13</v>
      </c>
      <c r="C21" s="22" t="n">
        <v>13</v>
      </c>
      <c r="D21" s="25" t="inlineStr">
        <is>
          <t>سياف عبدالله صالح محسن الحارثي</t>
        </is>
      </c>
      <c r="E21" s="6" t="n">
        <v>80</v>
      </c>
      <c r="F21" s="8" t="n">
        <v>18</v>
      </c>
      <c r="G21" s="16" t="n">
        <v>98</v>
      </c>
      <c r="H21" s="79" t="n">
        <v>90</v>
      </c>
      <c r="I21" s="26" t="n"/>
    </row>
    <row r="22">
      <c r="A22" s="50" t="n"/>
      <c r="B22" s="22" t="n">
        <v>14</v>
      </c>
      <c r="C22" s="22" t="n">
        <v>14</v>
      </c>
      <c r="D22" s="25" t="inlineStr">
        <is>
          <t>شما محمد علي صالح الحارثي</t>
        </is>
      </c>
      <c r="E22" s="6" t="n">
        <v>71</v>
      </c>
      <c r="F22" s="8" t="n">
        <v>20</v>
      </c>
      <c r="G22" s="16" t="n">
        <v>91</v>
      </c>
      <c r="H22" s="79" t="n">
        <v>91</v>
      </c>
      <c r="I22" s="26" t="n"/>
    </row>
    <row r="23">
      <c r="A23" s="50" t="n"/>
      <c r="B23" s="22" t="n">
        <v>15</v>
      </c>
      <c r="C23" s="22" t="n">
        <v>15</v>
      </c>
      <c r="D23" s="25" t="inlineStr">
        <is>
          <t>شما محمد ناصر سعيد العامري</t>
        </is>
      </c>
      <c r="E23" s="6" t="n">
        <v>70</v>
      </c>
      <c r="F23" s="8" t="n">
        <v>19</v>
      </c>
      <c r="G23" s="16" t="n">
        <v>89</v>
      </c>
      <c r="H23" s="79" t="n">
        <v>75</v>
      </c>
      <c r="I23" s="26" t="n"/>
    </row>
    <row r="24">
      <c r="A24" s="50" t="n"/>
      <c r="B24" s="22" t="n">
        <v>16</v>
      </c>
      <c r="C24" s="22" t="n">
        <v>16</v>
      </c>
      <c r="D24" s="25" t="inlineStr">
        <is>
          <t>عبدالله سعيد عبدالله سالم الصيعري</t>
        </is>
      </c>
      <c r="E24" s="6" t="n">
        <v>80</v>
      </c>
      <c r="F24" s="8" t="n">
        <v>19</v>
      </c>
      <c r="G24" s="16" t="n">
        <v>99</v>
      </c>
      <c r="H24" s="79" t="n">
        <v>93</v>
      </c>
      <c r="I24" s="26" t="n"/>
    </row>
    <row r="25">
      <c r="A25" s="50" t="n"/>
      <c r="B25" s="22" t="n">
        <v>17</v>
      </c>
      <c r="C25" s="22" t="n">
        <v>17</v>
      </c>
      <c r="D25" s="25" t="inlineStr">
        <is>
          <t>عفراء سالم محمد مقبل محمد</t>
        </is>
      </c>
      <c r="E25" s="6" t="n">
        <v>80</v>
      </c>
      <c r="F25" s="8" t="n">
        <v>19</v>
      </c>
      <c r="G25" s="16" t="n">
        <v>99</v>
      </c>
      <c r="H25" s="79" t="n">
        <v>92</v>
      </c>
      <c r="I25" s="26" t="n"/>
    </row>
    <row r="26">
      <c r="A26" s="50" t="n"/>
      <c r="B26" s="22" t="n">
        <v>18</v>
      </c>
      <c r="C26" s="22" t="n">
        <v>18</v>
      </c>
      <c r="D26" s="25" t="inlineStr">
        <is>
          <t>علياء على خميس عبدالله الكعبي</t>
        </is>
      </c>
      <c r="E26" s="6" t="n">
        <v>80</v>
      </c>
      <c r="F26" s="8" t="n">
        <v>20</v>
      </c>
      <c r="G26" s="16" t="n">
        <v>100</v>
      </c>
      <c r="H26" s="79" t="n">
        <v>89</v>
      </c>
      <c r="I26" s="26" t="n"/>
    </row>
    <row r="27">
      <c r="A27" s="50" t="n"/>
      <c r="B27" s="22" t="n">
        <v>19</v>
      </c>
      <c r="C27" s="22" t="n">
        <v>19</v>
      </c>
      <c r="D27" s="25" t="inlineStr">
        <is>
          <t>غريبه سعيدان محمد مسفر الأحبابي</t>
        </is>
      </c>
      <c r="E27" s="6" t="n">
        <v>80</v>
      </c>
      <c r="F27" s="8" t="n">
        <v>20</v>
      </c>
      <c r="G27" s="16" t="n">
        <v>100</v>
      </c>
      <c r="H27" s="79" t="n">
        <v>88</v>
      </c>
      <c r="I27" s="26" t="n"/>
    </row>
    <row r="28">
      <c r="A28" s="50" t="n"/>
      <c r="B28" s="22" t="n">
        <v>20</v>
      </c>
      <c r="C28" s="22" t="n">
        <v>20</v>
      </c>
      <c r="D28" s="25" t="inlineStr">
        <is>
          <t>فاطمة عمر محمد العامري</t>
        </is>
      </c>
      <c r="E28" s="6" t="n">
        <v>80</v>
      </c>
      <c r="F28" s="8" t="n">
        <v>19</v>
      </c>
      <c r="G28" s="16" t="n">
        <v>99</v>
      </c>
      <c r="H28" s="79" t="n">
        <v>90</v>
      </c>
      <c r="I28" s="26" t="n"/>
    </row>
    <row r="29">
      <c r="A29" s="50" t="n"/>
      <c r="B29" s="22" t="n">
        <v>21</v>
      </c>
      <c r="C29" s="22" t="n">
        <v>21</v>
      </c>
      <c r="D29" s="25" t="inlineStr">
        <is>
          <t>مهره على ظافر هادى الاحبابى</t>
        </is>
      </c>
      <c r="E29" s="6" t="n">
        <v>71</v>
      </c>
      <c r="F29" s="8" t="n">
        <v>20</v>
      </c>
      <c r="G29" s="16" t="n">
        <v>91</v>
      </c>
      <c r="H29" s="79" t="n">
        <v>89</v>
      </c>
      <c r="I29" s="26" t="n"/>
    </row>
    <row r="30">
      <c r="A30" s="50" t="n"/>
      <c r="B30" s="22" t="n">
        <v>22</v>
      </c>
      <c r="C30" s="22" t="n">
        <v>22</v>
      </c>
      <c r="D30" s="25" t="inlineStr">
        <is>
          <t>مهره ناصر علي جابر الاحبابي</t>
        </is>
      </c>
      <c r="E30" s="6" t="n">
        <v>80</v>
      </c>
      <c r="F30" s="8" t="n">
        <v>20</v>
      </c>
      <c r="G30" s="16" t="n">
        <v>100</v>
      </c>
      <c r="H30" s="79" t="n">
        <v>89</v>
      </c>
      <c r="I30" s="26" t="n"/>
    </row>
    <row r="31">
      <c r="A31" s="50" t="n"/>
      <c r="B31" s="22" t="n">
        <v>23</v>
      </c>
      <c r="C31" s="22" t="n">
        <v>23</v>
      </c>
      <c r="D31" s="25" t="inlineStr">
        <is>
          <t>ميثاء ابوبكر صالح محمد الدابسى</t>
        </is>
      </c>
      <c r="E31" s="6" t="n">
        <v>80</v>
      </c>
      <c r="F31" s="8" t="n">
        <v>19</v>
      </c>
      <c r="G31" s="16" t="n">
        <v>99</v>
      </c>
      <c r="H31" s="79" t="n">
        <v>90</v>
      </c>
      <c r="I31" s="26" t="n"/>
    </row>
    <row r="32">
      <c r="A32" s="50" t="n"/>
      <c r="B32" s="22" t="n">
        <v>24</v>
      </c>
      <c r="C32" s="22" t="n">
        <v>24</v>
      </c>
      <c r="D32" s="25" t="inlineStr">
        <is>
          <t>ميره خالد عنتر سليم النعيمي</t>
        </is>
      </c>
      <c r="E32" s="6" t="n">
        <v>80</v>
      </c>
      <c r="F32" s="8" t="n">
        <v>20</v>
      </c>
      <c r="G32" s="16" t="n">
        <v>100</v>
      </c>
      <c r="H32" s="79" t="n">
        <v>87</v>
      </c>
      <c r="I32" s="26" t="n"/>
    </row>
    <row r="33">
      <c r="A33" s="50" t="n"/>
      <c r="B33" s="22" t="n">
        <v>25</v>
      </c>
      <c r="C33" s="22" t="n">
        <v>25</v>
      </c>
      <c r="D33" s="25" t="inlineStr">
        <is>
          <t>نوره محمد صالح علي الكربي</t>
        </is>
      </c>
      <c r="E33" s="6" t="n">
        <v>80</v>
      </c>
      <c r="F33" s="8" t="n">
        <v>20</v>
      </c>
      <c r="G33" s="16" t="n">
        <v>100</v>
      </c>
      <c r="H33" s="79" t="n">
        <v>88</v>
      </c>
      <c r="I33" s="26" t="n"/>
    </row>
    <row r="34">
      <c r="A34" s="50" t="n"/>
      <c r="B34" s="22" t="n"/>
      <c r="C34" s="22" t="n"/>
      <c r="D34" s="25" t="n"/>
      <c r="E34" s="6" t="n"/>
      <c r="F34" s="8" t="n"/>
      <c r="G34" s="16" t="n"/>
      <c r="H34" s="79" t="n"/>
      <c r="I34" s="26" t="n"/>
    </row>
    <row r="35">
      <c r="A35" s="50" t="n"/>
      <c r="B35" s="22" t="n"/>
      <c r="C35" s="22" t="n"/>
      <c r="D35" s="25" t="n"/>
      <c r="E35" s="6" t="n"/>
      <c r="F35" s="8" t="n"/>
      <c r="G35" s="16" t="n"/>
      <c r="H35" s="79" t="n"/>
      <c r="I35" s="26" t="n"/>
    </row>
    <row r="36">
      <c r="A36" s="50" t="n"/>
      <c r="B36" s="22" t="n"/>
      <c r="C36" s="22" t="n"/>
      <c r="D36" s="25" t="n"/>
      <c r="E36" s="6" t="n"/>
      <c r="F36" s="8" t="n"/>
      <c r="G36" s="16" t="n"/>
      <c r="H36" s="79" t="n"/>
      <c r="I36" s="26" t="n"/>
    </row>
    <row r="37">
      <c r="A37" s="50" t="n"/>
      <c r="B37" s="22" t="n"/>
      <c r="C37" s="22" t="n"/>
      <c r="D37" s="25" t="n"/>
      <c r="E37" s="6" t="n"/>
      <c r="F37" s="8" t="n"/>
      <c r="G37" s="16" t="n"/>
      <c r="H37" s="79" t="n"/>
      <c r="I37" s="26" t="n"/>
    </row>
    <row r="38">
      <c r="A38" s="50" t="n"/>
      <c r="B38" s="22" t="n"/>
      <c r="C38" s="22" t="n"/>
      <c r="D38" s="25" t="n"/>
      <c r="E38" s="6" t="n"/>
      <c r="F38" s="8" t="n"/>
      <c r="G38" s="16" t="n"/>
      <c r="H38" s="79" t="n"/>
      <c r="I38" s="26" t="n"/>
    </row>
    <row r="39">
      <c r="A39" s="50" t="n"/>
      <c r="B39" s="22" t="n"/>
      <c r="C39" s="22" t="n"/>
      <c r="D39" s="25" t="n"/>
      <c r="E39" s="6" t="n"/>
      <c r="F39" s="8" t="n"/>
      <c r="G39" s="16" t="n"/>
      <c r="H39" s="79" t="n"/>
      <c r="I39" s="26" t="n"/>
    </row>
    <row r="40">
      <c r="A40" s="50" t="n"/>
      <c r="B40" s="22" t="n"/>
      <c r="C40" s="22" t="n"/>
      <c r="D40" s="25" t="n"/>
      <c r="E40" s="6" t="n"/>
      <c r="F40" s="8" t="n"/>
      <c r="G40" s="16" t="n"/>
      <c r="H40" s="79" t="n"/>
      <c r="I40" s="26" t="n"/>
    </row>
    <row r="41">
      <c r="A41" s="50" t="n"/>
      <c r="B41" s="22" t="n"/>
      <c r="C41" s="22" t="n"/>
      <c r="D41" s="25" t="n"/>
      <c r="E41" s="6" t="n"/>
      <c r="F41" s="8" t="n"/>
      <c r="G41" s="16" t="n"/>
      <c r="H41" s="79" t="n"/>
      <c r="I41" s="26" t="n"/>
    </row>
    <row r="42">
      <c r="A42" s="50" t="n"/>
      <c r="B42" s="22" t="n"/>
      <c r="C42" s="22" t="n"/>
      <c r="D42" s="25" t="n"/>
      <c r="E42" s="6" t="n"/>
      <c r="F42" s="8" t="n"/>
      <c r="G42" s="16" t="n"/>
      <c r="H42" s="79" t="n"/>
      <c r="I42" s="26" t="n"/>
    </row>
    <row r="43">
      <c r="A43" s="50" t="n"/>
      <c r="B43" s="22" t="n"/>
      <c r="C43" s="22" t="n"/>
      <c r="D43" s="25" t="n"/>
      <c r="E43" s="6" t="n"/>
      <c r="F43" s="8" t="n"/>
      <c r="G43" s="16" t="n"/>
      <c r="H43" s="79" t="n"/>
      <c r="I43" s="26" t="n"/>
    </row>
    <row r="44">
      <c r="A44" s="50" t="n"/>
      <c r="B44" s="22" t="n"/>
      <c r="C44" s="22" t="n"/>
      <c r="D44" s="25" t="n"/>
      <c r="E44" s="6" t="n"/>
      <c r="F44" s="8" t="n"/>
      <c r="G44" s="16" t="n"/>
      <c r="H44" s="79" t="n"/>
      <c r="I44" s="26" t="n"/>
    </row>
    <row r="45">
      <c r="A45" s="50" t="n"/>
      <c r="B45" s="22" t="n"/>
      <c r="C45" s="22" t="n"/>
      <c r="D45" s="25" t="n"/>
      <c r="E45" s="6" t="n"/>
      <c r="F45" s="8" t="n"/>
      <c r="G45" s="16" t="n"/>
      <c r="H45" s="79" t="n"/>
      <c r="I45" s="26" t="n"/>
    </row>
    <row r="46">
      <c r="A46" s="50" t="n"/>
      <c r="B46" s="22" t="n"/>
      <c r="C46" s="22" t="n"/>
      <c r="D46" s="25" t="n"/>
      <c r="E46" s="6" t="n"/>
      <c r="F46" s="8" t="n"/>
      <c r="G46" s="16" t="n"/>
      <c r="H46" s="79" t="n"/>
      <c r="I46" s="26" t="n"/>
    </row>
    <row r="47">
      <c r="A47" s="50" t="n"/>
      <c r="B47" s="22" t="n"/>
      <c r="C47" s="22" t="n"/>
      <c r="D47" s="25" t="n"/>
      <c r="E47" s="6" t="n"/>
      <c r="F47" s="8" t="n"/>
      <c r="G47" s="16" t="n"/>
      <c r="H47" s="79" t="n"/>
      <c r="I47" s="26" t="n"/>
    </row>
    <row r="48">
      <c r="A48" s="50" t="n"/>
      <c r="B48" s="22" t="n"/>
      <c r="C48" s="22" t="n"/>
      <c r="D48" s="25" t="n"/>
      <c r="E48" s="6" t="n"/>
      <c r="F48" s="8" t="n"/>
      <c r="G48" s="16" t="n"/>
      <c r="H48" s="79" t="n"/>
      <c r="I48" s="26" t="n"/>
    </row>
    <row r="49">
      <c r="A49" s="50" t="n"/>
      <c r="B49" s="22" t="n"/>
      <c r="C49" s="22" t="n"/>
      <c r="D49" s="25" t="n"/>
      <c r="E49" s="6" t="n"/>
      <c r="F49" s="8" t="n"/>
      <c r="G49" s="16" t="n"/>
      <c r="H49" s="79" t="n"/>
      <c r="I49" s="26" t="n"/>
    </row>
    <row r="50">
      <c r="A50" s="50" t="n"/>
      <c r="B50" s="22" t="n"/>
      <c r="C50" s="22" t="n"/>
      <c r="D50" s="25" t="n"/>
      <c r="E50" s="6" t="n"/>
      <c r="F50" s="8" t="n"/>
      <c r="G50" s="16" t="n"/>
      <c r="H50" s="79" t="n"/>
      <c r="I50" s="26" t="n"/>
    </row>
    <row r="51">
      <c r="A51" s="50" t="n"/>
      <c r="B51" s="22" t="n"/>
      <c r="C51" s="22" t="n"/>
      <c r="D51" s="25" t="n"/>
      <c r="E51" s="6" t="n"/>
      <c r="F51" s="8" t="n"/>
      <c r="G51" s="16" t="n"/>
      <c r="H51" s="79" t="n"/>
      <c r="I51" s="26" t="n"/>
    </row>
    <row r="52">
      <c r="A52" s="50" t="n"/>
      <c r="B52" s="22" t="n"/>
      <c r="C52" s="22" t="n"/>
      <c r="D52" s="25" t="n"/>
      <c r="E52" s="6" t="n"/>
      <c r="F52" s="8" t="n"/>
      <c r="G52" s="16" t="n"/>
      <c r="H52" s="79" t="n"/>
      <c r="I52" s="26" t="n"/>
    </row>
    <row r="53">
      <c r="A53" s="50" t="n"/>
      <c r="B53" s="22" t="n"/>
      <c r="C53" s="22" t="n"/>
      <c r="D53" s="25" t="n"/>
      <c r="E53" s="6" t="n"/>
      <c r="F53" s="8" t="n"/>
      <c r="G53" s="16" t="n"/>
      <c r="H53" s="79" t="n"/>
      <c r="I53" s="26" t="n"/>
    </row>
    <row r="54">
      <c r="A54" s="50" t="n"/>
      <c r="B54" s="22" t="n"/>
      <c r="C54" s="22" t="n"/>
      <c r="D54" s="25" t="n"/>
      <c r="E54" s="6" t="n"/>
      <c r="F54" s="8" t="n"/>
      <c r="G54" s="16" t="n"/>
      <c r="H54" s="79" t="n"/>
      <c r="I54" s="26" t="n"/>
    </row>
    <row r="55">
      <c r="A55" s="50" t="n"/>
      <c r="B55" s="22" t="n"/>
      <c r="C55" s="22" t="n"/>
      <c r="D55" s="25" t="n"/>
      <c r="E55" s="6" t="n"/>
      <c r="F55" s="8" t="n"/>
      <c r="G55" s="16" t="n"/>
      <c r="H55" s="79" t="n"/>
      <c r="I55" s="26" t="n"/>
    </row>
    <row r="56">
      <c r="A56" s="50" t="n"/>
      <c r="B56" s="22" t="n"/>
      <c r="C56" s="22" t="n"/>
      <c r="D56" s="25" t="n"/>
      <c r="E56" s="6" t="n"/>
      <c r="F56" s="8" t="n"/>
      <c r="G56" s="16" t="n"/>
      <c r="H56" s="79" t="n"/>
      <c r="I56" s="26" t="n"/>
    </row>
    <row r="57">
      <c r="A57" s="50" t="n"/>
      <c r="B57" s="22" t="n"/>
      <c r="C57" s="22" t="n"/>
      <c r="D57" s="25" t="n"/>
      <c r="E57" s="6" t="n"/>
      <c r="F57" s="8" t="n"/>
      <c r="G57" s="16" t="n"/>
      <c r="H57" s="79" t="n"/>
      <c r="I57" s="26" t="n"/>
    </row>
    <row r="58">
      <c r="A58" s="50" t="n"/>
      <c r="B58" s="22" t="n"/>
      <c r="C58" s="22" t="n"/>
      <c r="D58" s="25" t="n"/>
      <c r="E58" s="6" t="n"/>
      <c r="F58" s="8" t="n"/>
      <c r="G58" s="16" t="n"/>
      <c r="H58" s="79" t="n"/>
      <c r="I58" s="26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26" t="n"/>
    </row>
  </sheetData>
  <mergeCells count="5">
    <mergeCell ref="A5:C5"/>
    <mergeCell ref="A6:C6"/>
    <mergeCell ref="A3:C3"/>
    <mergeCell ref="A4:C4"/>
    <mergeCell ref="A2:C2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tabColor rgb="FF00B050"/>
    <outlinePr summaryBelow="1" summaryRight="1"/>
    <pageSetUpPr/>
  </sheetPr>
  <dimension ref="A1:AI59"/>
  <sheetViews>
    <sheetView workbookViewId="0">
      <selection activeCell="A1" sqref="A1"/>
    </sheetView>
  </sheetViews>
  <sheetFormatPr baseColWidth="8" defaultColWidth="9.140625" defaultRowHeight="15"/>
  <cols>
    <col width="3.140625" customWidth="1" style="1" min="1" max="1"/>
    <col width="4.28515625" customWidth="1" style="2" min="2" max="2"/>
    <col width="12.85546875" bestFit="1" customWidth="1" style="2" min="3" max="3"/>
    <col width="38.5703125" customWidth="1" style="1" min="4" max="4"/>
    <col width="5.7109375" customWidth="1" style="1" min="5" max="10"/>
    <col width="7.85546875" bestFit="1" customWidth="1" style="1" min="11" max="11"/>
    <col width="5.7109375" customWidth="1" style="1" min="12" max="15"/>
    <col width="7.140625" customWidth="1" style="1" min="16" max="16"/>
    <col width="5.7109375" customWidth="1" style="1" min="17" max="20"/>
    <col width="7.85546875" bestFit="1" customWidth="1" style="1" min="21" max="21"/>
    <col width="5.7109375" customWidth="1" style="1" min="22" max="25"/>
    <col width="7.85546875" bestFit="1" customWidth="1" style="1" min="26" max="26"/>
    <col width="13" customWidth="1" style="1" min="27" max="27"/>
    <col width="12.28515625" customWidth="1" style="1" min="28" max="28"/>
    <col width="11" customWidth="1" style="1" min="29" max="29"/>
    <col width="12.28515625" customWidth="1" style="1" min="30" max="30"/>
    <col width="8" customWidth="1" style="1" min="31" max="31"/>
    <col width="14.7109375" customWidth="1" style="1" min="32" max="32"/>
    <col width="10.5703125" customWidth="1" style="1" min="33" max="33"/>
    <col width="11.28515625" customWidth="1" style="1" min="34" max="34"/>
    <col width="23.5703125" customWidth="1" style="1" min="35" max="35"/>
    <col width="9.140625" customWidth="1" style="1" min="36" max="16384"/>
  </cols>
  <sheetData>
    <row r="1" ht="25.5" customHeight="1" thickBot="1">
      <c r="A1" s="26" t="n"/>
      <c r="B1" s="27" t="n"/>
      <c r="C1" s="28" t="inlineStr">
        <is>
          <t>Section:</t>
        </is>
      </c>
      <c r="D1" s="29" t="inlineStr">
        <is>
          <t>4F</t>
        </is>
      </c>
      <c r="E1" s="30" t="inlineStr">
        <is>
          <t>Attendance &amp; Effort Sheet</t>
        </is>
      </c>
      <c r="F1" s="26" t="n"/>
      <c r="G1" s="26" t="n"/>
      <c r="H1" s="26" t="n"/>
      <c r="I1" s="31" t="n"/>
      <c r="J1" s="31" t="n"/>
      <c r="K1" s="31" t="n"/>
      <c r="L1" s="31" t="n"/>
      <c r="M1" s="31" t="n"/>
      <c r="N1" s="32" t="n"/>
      <c r="O1" s="32" t="n"/>
      <c r="P1" s="65" t="inlineStr">
        <is>
          <t>P=Present</t>
        </is>
      </c>
      <c r="Q1" s="66" t="n"/>
      <c r="R1" s="66" t="n"/>
      <c r="S1" s="26" t="n"/>
      <c r="T1" s="26" t="n"/>
      <c r="U1" s="32" t="n"/>
      <c r="V1" s="32" t="n"/>
      <c r="W1" s="32" t="n"/>
      <c r="X1" s="32" t="n"/>
      <c r="Y1" s="32" t="n"/>
      <c r="Z1" s="32" t="n"/>
      <c r="AA1" s="33" t="n"/>
      <c r="AB1" s="26" t="n"/>
      <c r="AC1" s="26" t="n"/>
      <c r="AD1" s="26" t="n"/>
      <c r="AE1" s="26" t="n"/>
      <c r="AF1" s="33" t="n"/>
      <c r="AG1" s="26" t="n"/>
      <c r="AH1" s="26" t="n"/>
      <c r="AI1" s="26" t="n"/>
    </row>
    <row r="2" ht="24" customHeight="1">
      <c r="A2" s="89" t="inlineStr">
        <is>
          <t>Teacher Name:</t>
        </is>
      </c>
      <c r="B2" s="94" t="n"/>
      <c r="C2" s="95" t="n"/>
      <c r="D2" s="34" t="n"/>
      <c r="E2" s="35" t="inlineStr">
        <is>
          <t xml:space="preserve">Computing, Creative Design and Innovation </t>
        </is>
      </c>
      <c r="F2" s="26" t="n"/>
      <c r="G2" s="26" t="n"/>
      <c r="H2" s="26" t="n"/>
      <c r="I2" s="31" t="n"/>
      <c r="J2" s="31" t="n"/>
      <c r="K2" s="31" t="n"/>
      <c r="L2" s="31" t="n"/>
      <c r="M2" s="31" t="n"/>
      <c r="N2" s="32" t="n"/>
      <c r="O2" s="32" t="n"/>
      <c r="P2" s="67" t="inlineStr">
        <is>
          <t>A=Absent</t>
        </is>
      </c>
      <c r="Q2" s="68" t="n"/>
      <c r="R2" s="68" t="n"/>
      <c r="S2" s="26" t="n"/>
      <c r="T2" s="26" t="n"/>
      <c r="U2" s="36" t="n"/>
      <c r="V2" s="36" t="n"/>
      <c r="W2" s="36" t="n"/>
      <c r="X2" s="36" t="n"/>
      <c r="Y2" s="36" t="n"/>
      <c r="Z2" s="36" t="n"/>
      <c r="AA2" s="37" t="n"/>
      <c r="AB2" s="37" t="n"/>
      <c r="AC2" s="37" t="n"/>
      <c r="AD2" s="37" t="n"/>
      <c r="AE2" s="37" t="n"/>
      <c r="AF2" s="26" t="n"/>
      <c r="AG2" s="26" t="n"/>
      <c r="AH2" s="26" t="n"/>
      <c r="AI2" s="26" t="n"/>
    </row>
    <row r="3" ht="29.25" customHeight="1">
      <c r="A3" s="89" t="inlineStr">
        <is>
          <t>School ID:</t>
        </is>
      </c>
      <c r="B3" s="94" t="n"/>
      <c r="C3" s="95" t="n"/>
      <c r="D3" s="34" t="n"/>
      <c r="E3" s="38" t="inlineStr">
        <is>
          <t>Grade 4</t>
        </is>
      </c>
      <c r="F3" s="26" t="n"/>
      <c r="G3" s="26" t="n"/>
      <c r="H3" s="26" t="n"/>
      <c r="I3" s="26" t="n"/>
      <c r="J3" s="39" t="n"/>
      <c r="K3" s="31" t="n"/>
      <c r="L3" s="31" t="n"/>
      <c r="M3" s="31" t="n"/>
      <c r="N3" s="36" t="n"/>
      <c r="O3" s="36" t="n"/>
      <c r="P3" s="69" t="inlineStr">
        <is>
          <t>L=Late</t>
        </is>
      </c>
      <c r="Q3" s="70" t="n"/>
      <c r="R3" s="70" t="n"/>
      <c r="S3" s="26" t="n"/>
      <c r="T3" s="26" t="n"/>
      <c r="U3" s="36" t="n"/>
      <c r="V3" s="36" t="n"/>
      <c r="W3" s="36" t="n"/>
      <c r="X3" s="36" t="n"/>
      <c r="Y3" s="36" t="n"/>
      <c r="Z3" s="36" t="n"/>
      <c r="AA3" s="37" t="n"/>
      <c r="AB3" s="37" t="n"/>
      <c r="AC3" s="37" t="n"/>
      <c r="AD3" s="37" t="n"/>
      <c r="AE3" s="37" t="n"/>
      <c r="AF3" s="26" t="n"/>
      <c r="AG3" s="26" t="n"/>
      <c r="AH3" s="26" t="n"/>
      <c r="AI3" s="26" t="n"/>
    </row>
    <row r="4" ht="24.75" customHeight="1" thickBot="1">
      <c r="A4" s="89" t="inlineStr">
        <is>
          <t>School Name:</t>
        </is>
      </c>
      <c r="B4" s="94" t="n"/>
      <c r="C4" s="95" t="n"/>
      <c r="D4" s="34" t="n"/>
      <c r="E4" s="40" t="inlineStr">
        <is>
          <t>Term 2 - 2024/2025</t>
        </is>
      </c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41" t="n"/>
      <c r="AB4" s="41" t="n"/>
      <c r="AC4" s="41" t="n"/>
      <c r="AD4" s="41" t="n"/>
      <c r="AE4" s="41" t="n"/>
      <c r="AF4" s="41" t="n"/>
      <c r="AG4" s="41" t="n"/>
      <c r="AH4" s="26" t="n"/>
      <c r="AI4" s="26" t="n"/>
    </row>
    <row r="5" ht="23.25" customHeight="1">
      <c r="A5" s="89" t="inlineStr">
        <is>
          <t>Emirate/Area:</t>
        </is>
      </c>
      <c r="B5" s="94" t="n"/>
      <c r="C5" s="95" t="n"/>
      <c r="D5" s="34" t="n"/>
      <c r="E5" s="42" t="inlineStr">
        <is>
          <t>1. Student 'attendance' and 'effort' is part of the total of the School-Based mark. Please ensure that you record all attendance here.</t>
        </is>
      </c>
      <c r="F5" s="43" t="n"/>
      <c r="G5" s="43" t="n"/>
      <c r="H5" s="43" t="n"/>
      <c r="I5" s="43" t="n"/>
      <c r="J5" s="43" t="n"/>
      <c r="K5" s="43" t="n"/>
      <c r="L5" s="43" t="n"/>
      <c r="M5" s="43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5" t="n"/>
      <c r="AC5" s="45" t="n"/>
      <c r="AD5" s="45" t="n"/>
      <c r="AE5" s="45" t="n"/>
      <c r="AF5" s="45" t="n"/>
      <c r="AG5" s="45" t="n"/>
      <c r="AH5" s="45" t="n"/>
      <c r="AI5" s="45" t="n"/>
    </row>
    <row r="6" ht="24.75" customHeight="1">
      <c r="A6" s="89" t="inlineStr">
        <is>
          <t>Council:</t>
        </is>
      </c>
      <c r="B6" s="94" t="n"/>
      <c r="C6" s="95" t="n"/>
      <c r="D6" s="34" t="n"/>
      <c r="E6" s="46" t="inlineStr">
        <is>
          <t>2. Consult your principal for late/absent policy</t>
        </is>
      </c>
      <c r="F6" s="47" t="n"/>
      <c r="G6" s="47" t="n"/>
      <c r="H6" s="47" t="n"/>
      <c r="I6" s="47" t="n"/>
      <c r="J6" s="47" t="n"/>
      <c r="K6" s="47" t="n"/>
      <c r="L6" s="47" t="n"/>
      <c r="M6" s="47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26" t="n"/>
      <c r="AC6" s="26" t="n"/>
      <c r="AD6" s="26" t="n"/>
      <c r="AE6" s="26" t="n"/>
      <c r="AF6" s="26" t="n"/>
      <c r="AG6" s="26" t="n"/>
      <c r="AH6" s="26" t="n"/>
      <c r="AI6" s="26" t="n"/>
    </row>
    <row r="7" ht="18.75" customHeight="1">
      <c r="A7" s="32" t="n"/>
      <c r="B7" s="27" t="n"/>
      <c r="C7" s="48" t="n"/>
      <c r="D7" s="49" t="n"/>
      <c r="E7" s="82" t="inlineStr">
        <is>
          <t>Week 1</t>
        </is>
      </c>
      <c r="F7" s="96" t="n"/>
      <c r="G7" s="81" t="inlineStr">
        <is>
          <t>Week 2</t>
        </is>
      </c>
      <c r="H7" s="96" t="n"/>
      <c r="I7" s="82" t="inlineStr">
        <is>
          <t>Week 3</t>
        </is>
      </c>
      <c r="J7" s="96" t="n"/>
      <c r="K7" s="20" t="inlineStr">
        <is>
          <t>Effort</t>
        </is>
      </c>
      <c r="L7" s="81" t="inlineStr">
        <is>
          <t>Week 4</t>
        </is>
      </c>
      <c r="M7" s="96" t="n"/>
      <c r="N7" s="82" t="inlineStr">
        <is>
          <t>Week 5</t>
        </is>
      </c>
      <c r="O7" s="96" t="n"/>
      <c r="P7" s="20" t="inlineStr">
        <is>
          <t>Effort</t>
        </is>
      </c>
      <c r="Q7" s="81" t="inlineStr">
        <is>
          <t>Week 6</t>
        </is>
      </c>
      <c r="R7" s="96" t="n"/>
      <c r="S7" s="82" t="inlineStr">
        <is>
          <t>Week 7</t>
        </is>
      </c>
      <c r="T7" s="96" t="n"/>
      <c r="U7" s="20" t="inlineStr">
        <is>
          <t>Effort</t>
        </is>
      </c>
      <c r="V7" s="81" t="inlineStr">
        <is>
          <t>Week 8</t>
        </is>
      </c>
      <c r="W7" s="96" t="n"/>
      <c r="X7" s="82" t="inlineStr">
        <is>
          <t>Week 9</t>
        </is>
      </c>
      <c r="Y7" s="96" t="n"/>
      <c r="Z7" s="20" t="inlineStr">
        <is>
          <t>Effort</t>
        </is>
      </c>
      <c r="AA7" s="20" t="inlineStr">
        <is>
          <t>Avg</t>
        </is>
      </c>
      <c r="AB7" s="26" t="n"/>
      <c r="AC7" s="26" t="n"/>
      <c r="AD7" s="26" t="n"/>
      <c r="AE7" s="26" t="n"/>
      <c r="AF7" s="26" t="n"/>
      <c r="AG7" s="26" t="n"/>
      <c r="AH7" s="26" t="n"/>
      <c r="AI7" s="26" t="n"/>
    </row>
    <row r="8" ht="50.25" customHeight="1">
      <c r="A8" s="26" t="n"/>
      <c r="B8" s="51" t="inlineStr">
        <is>
          <t>No</t>
        </is>
      </c>
      <c r="C8" s="51" t="inlineStr">
        <is>
          <t>Student #</t>
        </is>
      </c>
      <c r="D8" s="52" t="inlineStr">
        <is>
          <t>Student Name</t>
        </is>
      </c>
      <c r="E8" s="85" t="n">
        <v>45663</v>
      </c>
      <c r="F8" s="96" t="n"/>
      <c r="G8" s="85" t="n">
        <v>45670</v>
      </c>
      <c r="H8" s="96" t="n"/>
      <c r="I8" s="85" t="n">
        <v>45677</v>
      </c>
      <c r="J8" s="96" t="n"/>
      <c r="K8" s="24" t="inlineStr">
        <is>
          <t>10M</t>
        </is>
      </c>
      <c r="L8" s="85" t="n">
        <v>45684</v>
      </c>
      <c r="M8" s="96" t="n"/>
      <c r="N8" s="85" t="n">
        <v>45691</v>
      </c>
      <c r="O8" s="96" t="n"/>
      <c r="P8" s="24" t="inlineStr">
        <is>
          <t>10M</t>
        </is>
      </c>
      <c r="Q8" s="85" t="n">
        <v>45698</v>
      </c>
      <c r="R8" s="96" t="n"/>
      <c r="S8" s="85" t="n">
        <v>45705</v>
      </c>
      <c r="T8" s="96" t="n"/>
      <c r="U8" s="24" t="inlineStr">
        <is>
          <t>10M</t>
        </is>
      </c>
      <c r="V8" s="85" t="n">
        <v>45712</v>
      </c>
      <c r="W8" s="96" t="n"/>
      <c r="X8" s="85" t="n">
        <v>45719</v>
      </c>
      <c r="Y8" s="96" t="n"/>
      <c r="Z8" s="24" t="inlineStr">
        <is>
          <t>10M</t>
        </is>
      </c>
      <c r="AA8" s="21" t="inlineStr">
        <is>
          <t>Effort</t>
        </is>
      </c>
      <c r="AB8" s="71" t="inlineStr">
        <is>
          <t>#Present</t>
        </is>
      </c>
      <c r="AC8" s="72" t="inlineStr">
        <is>
          <t>#Late</t>
        </is>
      </c>
      <c r="AD8" s="72" t="inlineStr">
        <is>
          <t>#Absence</t>
        </is>
      </c>
      <c r="AE8" s="73" t="inlineStr">
        <is>
          <t>Tot Att</t>
        </is>
      </c>
      <c r="AF8" s="73" t="inlineStr">
        <is>
          <t>Attendance Mark (10)</t>
        </is>
      </c>
      <c r="AG8" s="73" t="inlineStr">
        <is>
          <t>Effort Mark (10)</t>
        </is>
      </c>
      <c r="AH8" s="73" t="inlineStr">
        <is>
          <t>Total Marks (20)</t>
        </is>
      </c>
      <c r="AI8" s="74" t="inlineStr">
        <is>
          <t>Comments</t>
        </is>
      </c>
    </row>
    <row r="9">
      <c r="A9" s="50" t="n"/>
      <c r="B9" s="4" t="n">
        <v>1</v>
      </c>
      <c r="C9" s="4" t="n">
        <v>1</v>
      </c>
      <c r="D9" s="7" t="inlineStr">
        <is>
          <t>احمد محمد احمد عوض المهيري</t>
        </is>
      </c>
      <c r="E9" s="15" t="inlineStr">
        <is>
          <t>NA</t>
        </is>
      </c>
      <c r="F9" s="15" t="inlineStr">
        <is>
          <t>NA</t>
        </is>
      </c>
      <c r="G9" s="4" t="inlineStr">
        <is>
          <t>P</t>
        </is>
      </c>
      <c r="H9" s="4" t="inlineStr">
        <is>
          <t>P</t>
        </is>
      </c>
      <c r="I9" s="4" t="inlineStr">
        <is>
          <t>P</t>
        </is>
      </c>
      <c r="J9" s="4" t="inlineStr">
        <is>
          <t>P</t>
        </is>
      </c>
      <c r="K9" s="9" t="n">
        <v>10</v>
      </c>
      <c r="L9" s="4" t="inlineStr">
        <is>
          <t>P</t>
        </is>
      </c>
      <c r="M9" s="4" t="inlineStr">
        <is>
          <t>P</t>
        </is>
      </c>
      <c r="N9" s="4" t="inlineStr">
        <is>
          <t>P</t>
        </is>
      </c>
      <c r="O9" s="4" t="inlineStr">
        <is>
          <t>P</t>
        </is>
      </c>
      <c r="P9" s="9" t="n">
        <v>10</v>
      </c>
      <c r="Q9" s="4" t="inlineStr">
        <is>
          <t>P</t>
        </is>
      </c>
      <c r="R9" s="4" t="inlineStr">
        <is>
          <t>P</t>
        </is>
      </c>
      <c r="S9" s="4" t="inlineStr">
        <is>
          <t>P</t>
        </is>
      </c>
      <c r="T9" s="4" t="inlineStr">
        <is>
          <t>P</t>
        </is>
      </c>
      <c r="U9" s="9" t="n">
        <v>10</v>
      </c>
      <c r="V9" s="4" t="inlineStr">
        <is>
          <t>P</t>
        </is>
      </c>
      <c r="W9" s="4" t="inlineStr">
        <is>
          <t>P</t>
        </is>
      </c>
      <c r="X9" s="4" t="inlineStr">
        <is>
          <t>P</t>
        </is>
      </c>
      <c r="Y9" s="4" t="inlineStr">
        <is>
          <t>P</t>
        </is>
      </c>
      <c r="Z9" s="9" t="n">
        <v>10</v>
      </c>
      <c r="AA9" s="10">
        <f>AVERAGE(K9,P9,U9,Z9)</f>
        <v/>
      </c>
      <c r="AB9" s="11">
        <f>COUNTIF(G9:Z9,"P")</f>
        <v/>
      </c>
      <c r="AC9" s="12">
        <f>COUNTIF(G9:Z9,"L")</f>
        <v/>
      </c>
      <c r="AD9" s="13">
        <f>COUNTIF(G9:Z9,"A")</f>
        <v/>
      </c>
      <c r="AE9" s="14">
        <f>AB9+AC9</f>
        <v/>
      </c>
      <c r="AF9" s="8">
        <f>AE9/16*10</f>
        <v/>
      </c>
      <c r="AG9" s="8">
        <f>AA9</f>
        <v/>
      </c>
      <c r="AH9" s="8" t="n">
        <v>19</v>
      </c>
      <c r="AI9" s="5" t="inlineStr">
        <is>
          <t>Excellent work and effort</t>
        </is>
      </c>
    </row>
    <row r="10">
      <c r="A10" s="50" t="n"/>
      <c r="B10" s="4" t="n">
        <v>2</v>
      </c>
      <c r="C10" s="4" t="n">
        <v>2</v>
      </c>
      <c r="D10" s="7" t="inlineStr">
        <is>
          <t>الدماني منصور عجيل الشين الجحافي</t>
        </is>
      </c>
      <c r="E10" s="15" t="inlineStr">
        <is>
          <t>NA</t>
        </is>
      </c>
      <c r="F10" s="15" t="inlineStr">
        <is>
          <t>NA</t>
        </is>
      </c>
      <c r="G10" s="4" t="inlineStr">
        <is>
          <t>P</t>
        </is>
      </c>
      <c r="H10" s="4" t="inlineStr">
        <is>
          <t>P</t>
        </is>
      </c>
      <c r="I10" s="4" t="inlineStr">
        <is>
          <t>P</t>
        </is>
      </c>
      <c r="J10" s="4" t="inlineStr">
        <is>
          <t>P</t>
        </is>
      </c>
      <c r="K10" s="9" t="n">
        <v>10</v>
      </c>
      <c r="L10" s="4" t="inlineStr">
        <is>
          <t>A</t>
        </is>
      </c>
      <c r="M10" s="4" t="inlineStr">
        <is>
          <t>A</t>
        </is>
      </c>
      <c r="N10" s="4" t="inlineStr">
        <is>
          <t>L</t>
        </is>
      </c>
      <c r="O10" s="4" t="inlineStr">
        <is>
          <t>P</t>
        </is>
      </c>
      <c r="P10" s="9" t="n">
        <v>10</v>
      </c>
      <c r="Q10" s="4" t="inlineStr">
        <is>
          <t>P</t>
        </is>
      </c>
      <c r="R10" s="4" t="inlineStr">
        <is>
          <t>P</t>
        </is>
      </c>
      <c r="S10" s="4" t="inlineStr">
        <is>
          <t>P</t>
        </is>
      </c>
      <c r="T10" s="4" t="inlineStr">
        <is>
          <t>P</t>
        </is>
      </c>
      <c r="U10" s="9" t="n">
        <v>10</v>
      </c>
      <c r="V10" s="4" t="inlineStr">
        <is>
          <t>P</t>
        </is>
      </c>
      <c r="W10" s="4" t="inlineStr">
        <is>
          <t>P</t>
        </is>
      </c>
      <c r="X10" s="4" t="inlineStr">
        <is>
          <t>P</t>
        </is>
      </c>
      <c r="Y10" s="4" t="inlineStr">
        <is>
          <t>P</t>
        </is>
      </c>
      <c r="Z10" s="9" t="n">
        <v>10</v>
      </c>
      <c r="AA10" s="10">
        <f>AVERAGE(K10,P10,U10,Z10)</f>
        <v/>
      </c>
      <c r="AB10" s="11">
        <f>COUNTIF(G10:Z10,"P")</f>
        <v/>
      </c>
      <c r="AC10" s="12">
        <f>COUNTIF(G10:Z10,"L")</f>
        <v/>
      </c>
      <c r="AD10" s="13">
        <f>COUNTIF(G10:Z10,"A")</f>
        <v/>
      </c>
      <c r="AE10" s="14">
        <f>AB10+AC10</f>
        <v/>
      </c>
      <c r="AF10" s="8">
        <f>AE10/16*10</f>
        <v/>
      </c>
      <c r="AG10" s="8">
        <f>AA10</f>
        <v/>
      </c>
      <c r="AH10" s="8" t="n">
        <v>19</v>
      </c>
      <c r="AI10" s="5" t="n"/>
    </row>
    <row r="11">
      <c r="A11" s="50" t="n"/>
      <c r="B11" s="4" t="n">
        <v>3</v>
      </c>
      <c r="C11" s="4" t="n">
        <v>3</v>
      </c>
      <c r="D11" s="7" t="inlineStr">
        <is>
          <t>اميمه حسن حسين غلام</t>
        </is>
      </c>
      <c r="E11" s="15" t="inlineStr">
        <is>
          <t>NA</t>
        </is>
      </c>
      <c r="F11" s="15" t="inlineStr">
        <is>
          <t>NA</t>
        </is>
      </c>
      <c r="G11" s="4" t="inlineStr">
        <is>
          <t>P</t>
        </is>
      </c>
      <c r="H11" s="4" t="inlineStr">
        <is>
          <t>P</t>
        </is>
      </c>
      <c r="I11" s="4" t="inlineStr">
        <is>
          <t>P</t>
        </is>
      </c>
      <c r="J11" s="4" t="inlineStr">
        <is>
          <t>A</t>
        </is>
      </c>
      <c r="K11" s="9" t="n">
        <v>5</v>
      </c>
      <c r="L11" s="4" t="inlineStr">
        <is>
          <t>A</t>
        </is>
      </c>
      <c r="M11" s="4" t="inlineStr">
        <is>
          <t>A</t>
        </is>
      </c>
      <c r="N11" s="4" t="inlineStr">
        <is>
          <t>P</t>
        </is>
      </c>
      <c r="O11" s="4" t="inlineStr">
        <is>
          <t>P</t>
        </is>
      </c>
      <c r="P11" s="9" t="n">
        <v>5</v>
      </c>
      <c r="Q11" s="4" t="inlineStr">
        <is>
          <t>a</t>
        </is>
      </c>
      <c r="R11" s="4" t="inlineStr">
        <is>
          <t>A</t>
        </is>
      </c>
      <c r="S11" s="4" t="inlineStr">
        <is>
          <t>P</t>
        </is>
      </c>
      <c r="T11" s="4" t="inlineStr">
        <is>
          <t>P</t>
        </is>
      </c>
      <c r="U11" s="9" t="n">
        <v>5</v>
      </c>
      <c r="V11" s="4" t="inlineStr">
        <is>
          <t>a</t>
        </is>
      </c>
      <c r="W11" s="4" t="inlineStr">
        <is>
          <t>A</t>
        </is>
      </c>
      <c r="X11" s="4" t="inlineStr">
        <is>
          <t>a</t>
        </is>
      </c>
      <c r="Y11" s="4" t="inlineStr">
        <is>
          <t>a</t>
        </is>
      </c>
      <c r="Z11" s="9" t="n">
        <v>5</v>
      </c>
      <c r="AA11" s="10">
        <f>AVERAGE(K11,P11,U11,Z11)</f>
        <v/>
      </c>
      <c r="AB11" s="11">
        <f>COUNTIF(G11:Z11,"P")</f>
        <v/>
      </c>
      <c r="AC11" s="12">
        <f>COUNTIF(G11:Z11,"L")</f>
        <v/>
      </c>
      <c r="AD11" s="13">
        <f>COUNTIF(G11:Z11,"A")</f>
        <v/>
      </c>
      <c r="AE11" s="14">
        <f>AB11+AC11</f>
        <v/>
      </c>
      <c r="AF11" s="8">
        <f>AE11/16*10</f>
        <v/>
      </c>
      <c r="AG11" s="8">
        <f>AA11</f>
        <v/>
      </c>
      <c r="AH11" s="8" t="n">
        <v>19</v>
      </c>
      <c r="AI11" s="5" t="n"/>
    </row>
    <row r="12">
      <c r="A12" s="50" t="n"/>
      <c r="B12" s="4" t="n">
        <v>4</v>
      </c>
      <c r="C12" s="4" t="n">
        <v>4</v>
      </c>
      <c r="D12" s="7" t="inlineStr">
        <is>
          <t>بسملة خمليش</t>
        </is>
      </c>
      <c r="E12" s="15" t="inlineStr">
        <is>
          <t>NA</t>
        </is>
      </c>
      <c r="F12" s="15" t="inlineStr">
        <is>
          <t>NA</t>
        </is>
      </c>
      <c r="G12" s="4" t="n"/>
      <c r="H12" s="4" t="n"/>
      <c r="I12" s="4" t="n"/>
      <c r="J12" s="4" t="n"/>
      <c r="K12" s="9" t="n">
        <v>0</v>
      </c>
      <c r="L12" s="4" t="n"/>
      <c r="M12" s="4" t="n"/>
      <c r="N12" s="4" t="n"/>
      <c r="O12" s="4" t="n"/>
      <c r="P12" s="9" t="n">
        <v>0</v>
      </c>
      <c r="Q12" s="4" t="n"/>
      <c r="R12" s="4" t="n"/>
      <c r="S12" s="4" t="n"/>
      <c r="T12" s="4" t="n"/>
      <c r="U12" s="9" t="n">
        <v>0</v>
      </c>
      <c r="V12" s="4" t="n"/>
      <c r="W12" s="4" t="n"/>
      <c r="X12" s="4" t="n"/>
      <c r="Y12" s="4" t="n"/>
      <c r="Z12" s="9" t="n">
        <v>0</v>
      </c>
      <c r="AA12" s="10">
        <f>AVERAGE(K12,P12,U12,Z12)</f>
        <v/>
      </c>
      <c r="AB12" s="11">
        <f>COUNTIF(G12:Z12,"P")</f>
        <v/>
      </c>
      <c r="AC12" s="12">
        <f>COUNTIF(G12:Z12,"L")</f>
        <v/>
      </c>
      <c r="AD12" s="13">
        <f>COUNTIF(G12:Z12,"A")</f>
        <v/>
      </c>
      <c r="AE12" s="14">
        <f>AB12+AC12</f>
        <v/>
      </c>
      <c r="AF12" s="8">
        <f>AE12/16*10</f>
        <v/>
      </c>
      <c r="AG12" s="8">
        <f>AA12</f>
        <v/>
      </c>
      <c r="AH12" s="8" t="n">
        <v>20</v>
      </c>
      <c r="AI12" s="5" t="n"/>
    </row>
    <row r="13">
      <c r="A13" s="50" t="n"/>
      <c r="B13" s="4" t="n">
        <v>5</v>
      </c>
      <c r="C13" s="4" t="n">
        <v>5</v>
      </c>
      <c r="D13" s="7" t="inlineStr">
        <is>
          <t>جود ابراهيم حاضر المجيحيم الشمري</t>
        </is>
      </c>
      <c r="E13" s="15" t="inlineStr">
        <is>
          <t>NA</t>
        </is>
      </c>
      <c r="F13" s="15" t="inlineStr">
        <is>
          <t>NA</t>
        </is>
      </c>
      <c r="G13" s="4" t="n"/>
      <c r="H13" s="4" t="n"/>
      <c r="I13" s="4" t="n"/>
      <c r="J13" s="4" t="n"/>
      <c r="K13" s="9" t="n">
        <v>0</v>
      </c>
      <c r="L13" s="4" t="n"/>
      <c r="M13" s="4" t="n"/>
      <c r="N13" s="4" t="n"/>
      <c r="O13" s="4" t="n"/>
      <c r="P13" s="9" t="n">
        <v>0</v>
      </c>
      <c r="Q13" s="4" t="n"/>
      <c r="R13" s="4" t="n"/>
      <c r="S13" s="4" t="n"/>
      <c r="T13" s="4" t="n"/>
      <c r="U13" s="9" t="n">
        <v>0</v>
      </c>
      <c r="V13" s="4" t="n"/>
      <c r="W13" s="4" t="n"/>
      <c r="X13" s="4" t="n"/>
      <c r="Y13" s="4" t="n"/>
      <c r="Z13" s="9" t="n">
        <v>0</v>
      </c>
      <c r="AA13" s="10">
        <f>AVERAGE(K13,P13,U13,Z13)</f>
        <v/>
      </c>
      <c r="AB13" s="11">
        <f>COUNTIF(G13:Z13,"P")</f>
        <v/>
      </c>
      <c r="AC13" s="12">
        <f>COUNTIF(G13:Z13,"L")</f>
        <v/>
      </c>
      <c r="AD13" s="13">
        <f>COUNTIF(G13:Z13,"A")</f>
        <v/>
      </c>
      <c r="AE13" s="14">
        <f>AB13+AC13</f>
        <v/>
      </c>
      <c r="AF13" s="8">
        <f>AE13/16*10</f>
        <v/>
      </c>
      <c r="AG13" s="8">
        <f>AA13</f>
        <v/>
      </c>
      <c r="AH13" s="8" t="n">
        <v>19</v>
      </c>
      <c r="AI13" s="5" t="n"/>
    </row>
    <row r="14">
      <c r="A14" s="50" t="n"/>
      <c r="B14" s="4" t="n">
        <v>6</v>
      </c>
      <c r="C14" s="4" t="n">
        <v>6</v>
      </c>
      <c r="D14" s="7" t="inlineStr">
        <is>
          <t>حامد عايض مفرح علي الاحبابي</t>
        </is>
      </c>
      <c r="E14" s="15" t="inlineStr">
        <is>
          <t>NA</t>
        </is>
      </c>
      <c r="F14" s="15" t="inlineStr">
        <is>
          <t>NA</t>
        </is>
      </c>
      <c r="G14" s="4" t="n"/>
      <c r="H14" s="4" t="n"/>
      <c r="I14" s="4" t="n"/>
      <c r="J14" s="4" t="n"/>
      <c r="K14" s="9" t="n">
        <v>0</v>
      </c>
      <c r="L14" s="4" t="n"/>
      <c r="M14" s="4" t="n"/>
      <c r="N14" s="4" t="n"/>
      <c r="O14" s="4" t="n"/>
      <c r="P14" s="9" t="n">
        <v>0</v>
      </c>
      <c r="Q14" s="4" t="n"/>
      <c r="R14" s="4" t="n"/>
      <c r="S14" s="4" t="n"/>
      <c r="T14" s="4" t="n"/>
      <c r="U14" s="9" t="n">
        <v>0</v>
      </c>
      <c r="V14" s="4" t="n"/>
      <c r="W14" s="4" t="n"/>
      <c r="X14" s="4" t="n"/>
      <c r="Y14" s="4" t="n"/>
      <c r="Z14" s="9" t="n">
        <v>0</v>
      </c>
      <c r="AA14" s="10">
        <f>AVERAGE(K14,P14,U14,Z14)</f>
        <v/>
      </c>
      <c r="AB14" s="11">
        <f>COUNTIF(G14:Z14,"P")</f>
        <v/>
      </c>
      <c r="AC14" s="12">
        <f>COUNTIF(G14:Z14,"L")</f>
        <v/>
      </c>
      <c r="AD14" s="13">
        <f>COUNTIF(G14:Z14,"A")</f>
        <v/>
      </c>
      <c r="AE14" s="14">
        <f>AB14+AC14</f>
        <v/>
      </c>
      <c r="AF14" s="8">
        <f>AE14/16*10</f>
        <v/>
      </c>
      <c r="AG14" s="8">
        <f>AA14</f>
        <v/>
      </c>
      <c r="AH14" s="8" t="n">
        <v>19</v>
      </c>
      <c r="AI14" s="5" t="n"/>
    </row>
    <row r="15">
      <c r="A15" s="50" t="n"/>
      <c r="B15" s="4" t="n">
        <v>7</v>
      </c>
      <c r="C15" s="4" t="n">
        <v>7</v>
      </c>
      <c r="D15" s="7" t="inlineStr">
        <is>
          <t>حصه بنت محمد بن راشد بن سليم الزرعية</t>
        </is>
      </c>
      <c r="E15" s="15" t="inlineStr">
        <is>
          <t>NA</t>
        </is>
      </c>
      <c r="F15" s="15" t="inlineStr">
        <is>
          <t>NA</t>
        </is>
      </c>
      <c r="G15" s="4" t="n"/>
      <c r="H15" s="4" t="n"/>
      <c r="I15" s="4" t="n"/>
      <c r="J15" s="4" t="n"/>
      <c r="K15" s="9" t="n">
        <v>0</v>
      </c>
      <c r="L15" s="4" t="n"/>
      <c r="M15" s="4" t="n"/>
      <c r="N15" s="4" t="n"/>
      <c r="O15" s="4" t="n"/>
      <c r="P15" s="9" t="n">
        <v>0</v>
      </c>
      <c r="Q15" s="4" t="n"/>
      <c r="R15" s="4" t="n"/>
      <c r="S15" s="4" t="n"/>
      <c r="T15" s="4" t="n"/>
      <c r="U15" s="9" t="n">
        <v>0</v>
      </c>
      <c r="V15" s="4" t="n"/>
      <c r="W15" s="4" t="n"/>
      <c r="X15" s="4" t="n"/>
      <c r="Y15" s="4" t="n"/>
      <c r="Z15" s="9" t="n">
        <v>0</v>
      </c>
      <c r="AA15" s="10">
        <f>AVERAGE(K15,P15,U15,Z15)</f>
        <v/>
      </c>
      <c r="AB15" s="11">
        <f>COUNTIF(G15:Z15,"P")</f>
        <v/>
      </c>
      <c r="AC15" s="12">
        <f>COUNTIF(G15:Z15,"L")</f>
        <v/>
      </c>
      <c r="AD15" s="13">
        <f>COUNTIF(G15:Z15,"A")</f>
        <v/>
      </c>
      <c r="AE15" s="14">
        <f>AB15+AC15</f>
        <v/>
      </c>
      <c r="AF15" s="8">
        <f>AE15/16*10</f>
        <v/>
      </c>
      <c r="AG15" s="8">
        <f>AA15</f>
        <v/>
      </c>
      <c r="AH15" s="8" t="n">
        <v>18</v>
      </c>
      <c r="AI15" s="5" t="n"/>
    </row>
    <row r="16">
      <c r="A16" s="50" t="n"/>
      <c r="B16" s="4" t="n">
        <v>8</v>
      </c>
      <c r="C16" s="4" t="n">
        <v>8</v>
      </c>
      <c r="D16" s="7" t="inlineStr">
        <is>
          <t>حصه عوض عامر محمد الغيثي</t>
        </is>
      </c>
      <c r="E16" s="15" t="inlineStr">
        <is>
          <t>NA</t>
        </is>
      </c>
      <c r="F16" s="15" t="inlineStr">
        <is>
          <t>NA</t>
        </is>
      </c>
      <c r="G16" s="4" t="n"/>
      <c r="H16" s="4" t="n"/>
      <c r="I16" s="4" t="n"/>
      <c r="J16" s="4" t="n"/>
      <c r="K16" s="9" t="n">
        <v>0</v>
      </c>
      <c r="L16" s="4" t="n"/>
      <c r="M16" s="4" t="n"/>
      <c r="N16" s="4" t="n"/>
      <c r="O16" s="4" t="n"/>
      <c r="P16" s="9" t="n">
        <v>0</v>
      </c>
      <c r="Q16" s="4" t="n"/>
      <c r="R16" s="4" t="n"/>
      <c r="S16" s="4" t="n"/>
      <c r="T16" s="4" t="n"/>
      <c r="U16" s="9" t="n">
        <v>0</v>
      </c>
      <c r="V16" s="4" t="n"/>
      <c r="W16" s="4" t="n"/>
      <c r="X16" s="4" t="n"/>
      <c r="Y16" s="4" t="n"/>
      <c r="Z16" s="9" t="n">
        <v>0</v>
      </c>
      <c r="AA16" s="10">
        <f>AVERAGE(K16,P16,U16,Z16)</f>
        <v/>
      </c>
      <c r="AB16" s="11">
        <f>COUNTIF(G16:Z16,"P")</f>
        <v/>
      </c>
      <c r="AC16" s="12">
        <f>COUNTIF(G16:Z16,"L")</f>
        <v/>
      </c>
      <c r="AD16" s="13">
        <f>COUNTIF(G16:Z16,"A")</f>
        <v/>
      </c>
      <c r="AE16" s="14">
        <f>AB16+AC16</f>
        <v/>
      </c>
      <c r="AF16" s="8">
        <f>AE16/16*10</f>
        <v/>
      </c>
      <c r="AG16" s="8">
        <f>AA16</f>
        <v/>
      </c>
      <c r="AH16" s="8" t="n">
        <v>19</v>
      </c>
      <c r="AI16" s="5" t="n"/>
    </row>
    <row r="17">
      <c r="A17" s="50" t="n"/>
      <c r="B17" s="4" t="n">
        <v>9</v>
      </c>
      <c r="C17" s="4" t="n">
        <v>9</v>
      </c>
      <c r="D17" s="7" t="inlineStr">
        <is>
          <t>حمد احمد محمد يوسف الحمادي</t>
        </is>
      </c>
      <c r="E17" s="15" t="inlineStr">
        <is>
          <t>NA</t>
        </is>
      </c>
      <c r="F17" s="15" t="inlineStr">
        <is>
          <t>NA</t>
        </is>
      </c>
      <c r="G17" s="4" t="n"/>
      <c r="H17" s="4" t="n"/>
      <c r="I17" s="4" t="n"/>
      <c r="J17" s="4" t="n"/>
      <c r="K17" s="9" t="n">
        <v>0</v>
      </c>
      <c r="L17" s="4" t="n"/>
      <c r="M17" s="4" t="n"/>
      <c r="N17" s="4" t="n"/>
      <c r="O17" s="4" t="n"/>
      <c r="P17" s="9" t="n">
        <v>0</v>
      </c>
      <c r="Q17" s="4" t="n"/>
      <c r="R17" s="4" t="n"/>
      <c r="S17" s="4" t="n"/>
      <c r="T17" s="4" t="n"/>
      <c r="U17" s="9" t="n">
        <v>0</v>
      </c>
      <c r="V17" s="4" t="n"/>
      <c r="W17" s="4" t="n"/>
      <c r="X17" s="4" t="n"/>
      <c r="Y17" s="4" t="n"/>
      <c r="Z17" s="9" t="n">
        <v>0</v>
      </c>
      <c r="AA17" s="10">
        <f>AVERAGE(K17,P17,U17,Z17)</f>
        <v/>
      </c>
      <c r="AB17" s="11">
        <f>COUNTIF(G17:Z17,"P")</f>
        <v/>
      </c>
      <c r="AC17" s="12">
        <f>COUNTIF(G17:Z17,"L")</f>
        <v/>
      </c>
      <c r="AD17" s="13">
        <f>COUNTIF(G17:Z17,"A")</f>
        <v/>
      </c>
      <c r="AE17" s="14">
        <f>AB17+AC17</f>
        <v/>
      </c>
      <c r="AF17" s="8">
        <f>AE17/16*10</f>
        <v/>
      </c>
      <c r="AG17" s="8">
        <f>AA17</f>
        <v/>
      </c>
      <c r="AH17" s="8" t="n">
        <v>19</v>
      </c>
      <c r="AI17" s="5" t="n"/>
    </row>
    <row r="18">
      <c r="A18" s="50" t="n"/>
      <c r="B18" s="4" t="n">
        <v>10</v>
      </c>
      <c r="C18" s="4" t="n">
        <v>10</v>
      </c>
      <c r="D18" s="7" t="inlineStr">
        <is>
          <t>حمدان محمد جمعه محمد البلوشى</t>
        </is>
      </c>
      <c r="E18" s="15" t="inlineStr">
        <is>
          <t>NA</t>
        </is>
      </c>
      <c r="F18" s="15" t="inlineStr">
        <is>
          <t>NA</t>
        </is>
      </c>
      <c r="G18" s="4" t="n"/>
      <c r="H18" s="4" t="n"/>
      <c r="I18" s="4" t="n"/>
      <c r="J18" s="4" t="n"/>
      <c r="K18" s="9" t="n">
        <v>0</v>
      </c>
      <c r="L18" s="4" t="n"/>
      <c r="M18" s="4" t="n"/>
      <c r="N18" s="4" t="n"/>
      <c r="O18" s="4" t="n"/>
      <c r="P18" s="9" t="n">
        <v>0</v>
      </c>
      <c r="Q18" s="4" t="n"/>
      <c r="R18" s="4" t="n"/>
      <c r="S18" s="4" t="n"/>
      <c r="T18" s="4" t="n"/>
      <c r="U18" s="9" t="n">
        <v>0</v>
      </c>
      <c r="V18" s="4" t="n"/>
      <c r="W18" s="4" t="n"/>
      <c r="X18" s="4" t="n"/>
      <c r="Y18" s="4" t="n"/>
      <c r="Z18" s="9" t="n">
        <v>0</v>
      </c>
      <c r="AA18" s="10">
        <f>AVERAGE(K18,P18,U18,Z18)</f>
        <v/>
      </c>
      <c r="AB18" s="11">
        <f>COUNTIF(G18:Z18,"P")</f>
        <v/>
      </c>
      <c r="AC18" s="12">
        <f>COUNTIF(G18:Z18,"L")</f>
        <v/>
      </c>
      <c r="AD18" s="13">
        <f>COUNTIF(G18:Z18,"A")</f>
        <v/>
      </c>
      <c r="AE18" s="14">
        <f>AB18+AC18</f>
        <v/>
      </c>
      <c r="AF18" s="8">
        <f>AE18/16*10</f>
        <v/>
      </c>
      <c r="AG18" s="8">
        <f>AA18</f>
        <v/>
      </c>
      <c r="AH18" s="8" t="n">
        <v>20</v>
      </c>
      <c r="AI18" s="5" t="n"/>
    </row>
    <row r="19">
      <c r="A19" s="50" t="n"/>
      <c r="B19" s="4" t="n">
        <v>11</v>
      </c>
      <c r="C19" s="4" t="n">
        <v>11</v>
      </c>
      <c r="D19" s="7" t="inlineStr">
        <is>
          <t>حمدان محمد سعيد سالمين بن اسحاق</t>
        </is>
      </c>
      <c r="E19" s="15" t="inlineStr">
        <is>
          <t>NA</t>
        </is>
      </c>
      <c r="F19" s="15" t="inlineStr">
        <is>
          <t>NA</t>
        </is>
      </c>
      <c r="G19" s="4" t="n"/>
      <c r="H19" s="4" t="n"/>
      <c r="I19" s="4" t="n"/>
      <c r="J19" s="4" t="n"/>
      <c r="K19" s="9" t="n">
        <v>0</v>
      </c>
      <c r="L19" s="4" t="n"/>
      <c r="M19" s="4" t="n"/>
      <c r="N19" s="4" t="n"/>
      <c r="O19" s="4" t="n"/>
      <c r="P19" s="9" t="n">
        <v>0</v>
      </c>
      <c r="Q19" s="4" t="n"/>
      <c r="R19" s="4" t="n"/>
      <c r="S19" s="4" t="n"/>
      <c r="T19" s="4" t="n"/>
      <c r="U19" s="9" t="n">
        <v>0</v>
      </c>
      <c r="V19" s="4" t="n"/>
      <c r="W19" s="4" t="n"/>
      <c r="X19" s="4" t="n"/>
      <c r="Y19" s="4" t="n"/>
      <c r="Z19" s="9" t="n">
        <v>0</v>
      </c>
      <c r="AA19" s="10">
        <f>AVERAGE(K19,P19,U19,Z19)</f>
        <v/>
      </c>
      <c r="AB19" s="11">
        <f>COUNTIF(G19:Z19,"P")</f>
        <v/>
      </c>
      <c r="AC19" s="12">
        <f>COUNTIF(G19:Z19,"L")</f>
        <v/>
      </c>
      <c r="AD19" s="13">
        <f>COUNTIF(G19:Z19,"A")</f>
        <v/>
      </c>
      <c r="AE19" s="14">
        <f>AB19+AC19</f>
        <v/>
      </c>
      <c r="AF19" s="8">
        <f>AE19/16*10</f>
        <v/>
      </c>
      <c r="AG19" s="8">
        <f>AA19</f>
        <v/>
      </c>
      <c r="AH19" s="8" t="n">
        <v>18</v>
      </c>
      <c r="AI19" s="5" t="n"/>
    </row>
    <row r="20">
      <c r="A20" s="50" t="n"/>
      <c r="B20" s="4" t="n">
        <v>12</v>
      </c>
      <c r="C20" s="4" t="n">
        <v>12</v>
      </c>
      <c r="D20" s="7" t="inlineStr">
        <is>
          <t>حمدان نايف محمد سالم الكعبي</t>
        </is>
      </c>
      <c r="E20" s="15" t="inlineStr">
        <is>
          <t>NA</t>
        </is>
      </c>
      <c r="F20" s="15" t="inlineStr">
        <is>
          <t>NA</t>
        </is>
      </c>
      <c r="G20" s="4" t="n"/>
      <c r="H20" s="4" t="n"/>
      <c r="I20" s="4" t="n"/>
      <c r="J20" s="4" t="n"/>
      <c r="K20" s="9" t="n">
        <v>0</v>
      </c>
      <c r="L20" s="4" t="n"/>
      <c r="M20" s="4" t="n"/>
      <c r="N20" s="4" t="n"/>
      <c r="O20" s="4" t="n"/>
      <c r="P20" s="9" t="n">
        <v>0</v>
      </c>
      <c r="Q20" s="4" t="n"/>
      <c r="R20" s="4" t="n"/>
      <c r="S20" s="4" t="n"/>
      <c r="T20" s="4" t="n"/>
      <c r="U20" s="9" t="n">
        <v>0</v>
      </c>
      <c r="V20" s="4" t="n"/>
      <c r="W20" s="4" t="n"/>
      <c r="X20" s="4" t="n"/>
      <c r="Y20" s="4" t="n"/>
      <c r="Z20" s="9" t="n">
        <v>0</v>
      </c>
      <c r="AA20" s="10">
        <f>AVERAGE(K20,P20,U20,Z20)</f>
        <v/>
      </c>
      <c r="AB20" s="11">
        <f>COUNTIF(G20:Z20,"P")</f>
        <v/>
      </c>
      <c r="AC20" s="12">
        <f>COUNTIF(G20:Z20,"L")</f>
        <v/>
      </c>
      <c r="AD20" s="13">
        <f>COUNTIF(G20:Z20,"A")</f>
        <v/>
      </c>
      <c r="AE20" s="14">
        <f>AB20+AC20</f>
        <v/>
      </c>
      <c r="AF20" s="8">
        <f>AE20/16*10</f>
        <v/>
      </c>
      <c r="AG20" s="8">
        <f>AA20</f>
        <v/>
      </c>
      <c r="AH20" s="8" t="n">
        <v>19</v>
      </c>
      <c r="AI20" s="5" t="n"/>
    </row>
    <row r="21">
      <c r="A21" s="50" t="n"/>
      <c r="B21" s="4" t="n">
        <v>13</v>
      </c>
      <c r="C21" s="4" t="n">
        <v>13</v>
      </c>
      <c r="D21" s="7" t="inlineStr">
        <is>
          <t>خالد محمد جمعه محمد البلوشى</t>
        </is>
      </c>
      <c r="E21" s="15" t="inlineStr">
        <is>
          <t>NA</t>
        </is>
      </c>
      <c r="F21" s="15" t="inlineStr">
        <is>
          <t>NA</t>
        </is>
      </c>
      <c r="G21" s="4" t="n"/>
      <c r="H21" s="4" t="n"/>
      <c r="I21" s="4" t="n"/>
      <c r="J21" s="4" t="n"/>
      <c r="K21" s="9" t="n">
        <v>0</v>
      </c>
      <c r="L21" s="4" t="n"/>
      <c r="M21" s="4" t="n"/>
      <c r="N21" s="4" t="n"/>
      <c r="O21" s="4" t="n"/>
      <c r="P21" s="9" t="n">
        <v>0</v>
      </c>
      <c r="Q21" s="4" t="n"/>
      <c r="R21" s="4" t="n"/>
      <c r="S21" s="4" t="n"/>
      <c r="T21" s="4" t="n"/>
      <c r="U21" s="9" t="n">
        <v>0</v>
      </c>
      <c r="V21" s="4" t="n"/>
      <c r="W21" s="4" t="n"/>
      <c r="X21" s="4" t="n"/>
      <c r="Y21" s="4" t="n"/>
      <c r="Z21" s="9" t="n">
        <v>0</v>
      </c>
      <c r="AA21" s="10">
        <f>AVERAGE(K21,P21,U21,Z21)</f>
        <v/>
      </c>
      <c r="AB21" s="11">
        <f>COUNTIF(G21:Z21,"P")</f>
        <v/>
      </c>
      <c r="AC21" s="12">
        <f>COUNTIF(G21:Z21,"L")</f>
        <v/>
      </c>
      <c r="AD21" s="13">
        <f>COUNTIF(G21:Z21,"A")</f>
        <v/>
      </c>
      <c r="AE21" s="14">
        <f>AB21+AC21</f>
        <v/>
      </c>
      <c r="AF21" s="8">
        <f>AE21/16*10</f>
        <v/>
      </c>
      <c r="AG21" s="8">
        <f>AA21</f>
        <v/>
      </c>
      <c r="AH21" s="8" t="n">
        <v>19</v>
      </c>
      <c r="AI21" s="5" t="n"/>
    </row>
    <row r="22">
      <c r="A22" s="50" t="n"/>
      <c r="B22" s="4" t="n">
        <v>14</v>
      </c>
      <c r="C22" s="4" t="n">
        <v>14</v>
      </c>
      <c r="D22" s="7" t="inlineStr">
        <is>
          <t>روضة علي يسلم عوض الصيعري</t>
        </is>
      </c>
      <c r="E22" s="15" t="inlineStr">
        <is>
          <t>NA</t>
        </is>
      </c>
      <c r="F22" s="15" t="inlineStr">
        <is>
          <t>NA</t>
        </is>
      </c>
      <c r="G22" s="4" t="n"/>
      <c r="H22" s="4" t="n"/>
      <c r="I22" s="4" t="n"/>
      <c r="J22" s="4" t="n"/>
      <c r="K22" s="9" t="n">
        <v>0</v>
      </c>
      <c r="L22" s="4" t="n"/>
      <c r="M22" s="4" t="n"/>
      <c r="N22" s="4" t="n"/>
      <c r="O22" s="4" t="n"/>
      <c r="P22" s="9" t="n">
        <v>0</v>
      </c>
      <c r="Q22" s="4" t="n"/>
      <c r="R22" s="4" t="n"/>
      <c r="S22" s="4" t="n"/>
      <c r="T22" s="4" t="n"/>
      <c r="U22" s="9" t="n">
        <v>0</v>
      </c>
      <c r="V22" s="4" t="n"/>
      <c r="W22" s="4" t="n"/>
      <c r="X22" s="4" t="n"/>
      <c r="Y22" s="4" t="n"/>
      <c r="Z22" s="9" t="n">
        <v>0</v>
      </c>
      <c r="AA22" s="10">
        <f>AVERAGE(K22,P22,U22,Z22)</f>
        <v/>
      </c>
      <c r="AB22" s="11">
        <f>COUNTIF(G22:Z22,"P")</f>
        <v/>
      </c>
      <c r="AC22" s="12">
        <f>COUNTIF(G22:Z22,"L")</f>
        <v/>
      </c>
      <c r="AD22" s="13">
        <f>COUNTIF(G22:Z22,"A")</f>
        <v/>
      </c>
      <c r="AE22" s="14">
        <f>AB22+AC22</f>
        <v/>
      </c>
      <c r="AF22" s="8">
        <f>AE22/16*10</f>
        <v/>
      </c>
      <c r="AG22" s="8">
        <f>AA22</f>
        <v/>
      </c>
      <c r="AH22" s="8" t="n">
        <v>20</v>
      </c>
      <c r="AI22" s="5" t="n"/>
    </row>
    <row r="23">
      <c r="A23" s="50" t="n"/>
      <c r="B23" s="4" t="n">
        <v>15</v>
      </c>
      <c r="C23" s="4" t="n">
        <v>15</v>
      </c>
      <c r="D23" s="7" t="inlineStr">
        <is>
          <t>شمسه ناصر حميد سعيد البلوشي</t>
        </is>
      </c>
      <c r="E23" s="15" t="inlineStr">
        <is>
          <t>NA</t>
        </is>
      </c>
      <c r="F23" s="15" t="inlineStr">
        <is>
          <t>NA</t>
        </is>
      </c>
      <c r="G23" s="4" t="n"/>
      <c r="H23" s="4" t="n"/>
      <c r="I23" s="4" t="n"/>
      <c r="J23" s="4" t="n"/>
      <c r="K23" s="9" t="n">
        <v>0</v>
      </c>
      <c r="L23" s="4" t="n"/>
      <c r="M23" s="4" t="n"/>
      <c r="N23" s="4" t="n"/>
      <c r="O23" s="4" t="n"/>
      <c r="P23" s="9" t="n">
        <v>0</v>
      </c>
      <c r="Q23" s="4" t="n"/>
      <c r="R23" s="4" t="n"/>
      <c r="S23" s="4" t="n"/>
      <c r="T23" s="4" t="n"/>
      <c r="U23" s="9" t="n">
        <v>0</v>
      </c>
      <c r="V23" s="4" t="n"/>
      <c r="W23" s="4" t="n"/>
      <c r="X23" s="4" t="n"/>
      <c r="Y23" s="4" t="n"/>
      <c r="Z23" s="9" t="n">
        <v>0</v>
      </c>
      <c r="AA23" s="10">
        <f>AVERAGE(K23,P23,U23,Z23)</f>
        <v/>
      </c>
      <c r="AB23" s="11">
        <f>COUNTIF(G23:Z23,"P")</f>
        <v/>
      </c>
      <c r="AC23" s="12">
        <f>COUNTIF(G23:Z23,"L")</f>
        <v/>
      </c>
      <c r="AD23" s="13">
        <f>COUNTIF(G23:Z23,"A")</f>
        <v/>
      </c>
      <c r="AE23" s="14">
        <f>AB23+AC23</f>
        <v/>
      </c>
      <c r="AF23" s="8">
        <f>AE23/16*10</f>
        <v/>
      </c>
      <c r="AG23" s="8">
        <f>AA23</f>
        <v/>
      </c>
      <c r="AH23" s="8" t="n">
        <v>19</v>
      </c>
      <c r="AI23" s="5" t="n"/>
    </row>
    <row r="24">
      <c r="A24" s="50" t="n"/>
      <c r="B24" s="4" t="n">
        <v>16</v>
      </c>
      <c r="C24" s="4" t="n">
        <v>16</v>
      </c>
      <c r="D24" s="7" t="inlineStr">
        <is>
          <t>شيخه حميد الرميلي سعيد الجنيبي</t>
        </is>
      </c>
      <c r="E24" s="15" t="inlineStr">
        <is>
          <t>NA</t>
        </is>
      </c>
      <c r="F24" s="15" t="inlineStr">
        <is>
          <t>NA</t>
        </is>
      </c>
      <c r="G24" s="4" t="n"/>
      <c r="H24" s="4" t="n"/>
      <c r="I24" s="4" t="n"/>
      <c r="J24" s="4" t="n"/>
      <c r="K24" s="9" t="n">
        <v>0</v>
      </c>
      <c r="L24" s="4" t="n"/>
      <c r="M24" s="4" t="n"/>
      <c r="N24" s="4" t="n"/>
      <c r="O24" s="4" t="n"/>
      <c r="P24" s="9" t="n">
        <v>0</v>
      </c>
      <c r="Q24" s="4" t="n"/>
      <c r="R24" s="4" t="n"/>
      <c r="S24" s="4" t="n"/>
      <c r="T24" s="4" t="n"/>
      <c r="U24" s="9" t="n">
        <v>0</v>
      </c>
      <c r="V24" s="4" t="n"/>
      <c r="W24" s="4" t="n"/>
      <c r="X24" s="4" t="n"/>
      <c r="Y24" s="4" t="n"/>
      <c r="Z24" s="9" t="n">
        <v>0</v>
      </c>
      <c r="AA24" s="10">
        <f>AVERAGE(K24,P24,U24,Z24)</f>
        <v/>
      </c>
      <c r="AB24" s="11">
        <f>COUNTIF(G24:Z24,"P")</f>
        <v/>
      </c>
      <c r="AC24" s="12">
        <f>COUNTIF(G24:Z24,"L")</f>
        <v/>
      </c>
      <c r="AD24" s="13">
        <f>COUNTIF(G24:Z24,"A")</f>
        <v/>
      </c>
      <c r="AE24" s="14">
        <f>AB24+AC24</f>
        <v/>
      </c>
      <c r="AF24" s="8">
        <f>AE24/16*10</f>
        <v/>
      </c>
      <c r="AG24" s="8">
        <f>AA24</f>
        <v/>
      </c>
      <c r="AH24" s="8" t="n">
        <v>18</v>
      </c>
      <c r="AI24" s="5" t="n"/>
    </row>
    <row r="25">
      <c r="A25" s="50" t="n"/>
      <c r="B25" s="4" t="n">
        <v>17</v>
      </c>
      <c r="C25" s="4" t="n">
        <v>17</v>
      </c>
      <c r="D25" s="7" t="inlineStr">
        <is>
          <t>عائشه منصور محمد احمد الحضرمى</t>
        </is>
      </c>
      <c r="E25" s="15" t="inlineStr">
        <is>
          <t>NA</t>
        </is>
      </c>
      <c r="F25" s="15" t="inlineStr">
        <is>
          <t>NA</t>
        </is>
      </c>
      <c r="G25" s="4" t="n"/>
      <c r="H25" s="4" t="n"/>
      <c r="I25" s="4" t="n"/>
      <c r="J25" s="4" t="n"/>
      <c r="K25" s="9" t="n">
        <v>0</v>
      </c>
      <c r="L25" s="4" t="n"/>
      <c r="M25" s="4" t="n"/>
      <c r="N25" s="4" t="n"/>
      <c r="O25" s="4" t="n"/>
      <c r="P25" s="9" t="n">
        <v>0</v>
      </c>
      <c r="Q25" s="4" t="n"/>
      <c r="R25" s="4" t="n"/>
      <c r="S25" s="4" t="n"/>
      <c r="T25" s="4" t="n"/>
      <c r="U25" s="9" t="n">
        <v>0</v>
      </c>
      <c r="V25" s="4" t="n"/>
      <c r="W25" s="4" t="n"/>
      <c r="X25" s="4" t="n"/>
      <c r="Y25" s="4" t="n"/>
      <c r="Z25" s="9" t="n">
        <v>0</v>
      </c>
      <c r="AA25" s="10">
        <f>AVERAGE(K25,P25,U25,Z25)</f>
        <v/>
      </c>
      <c r="AB25" s="11">
        <f>COUNTIF(G25:Z25,"P")</f>
        <v/>
      </c>
      <c r="AC25" s="12">
        <f>COUNTIF(G25:Z25,"L")</f>
        <v/>
      </c>
      <c r="AD25" s="13">
        <f>COUNTIF(G25:Z25,"A")</f>
        <v/>
      </c>
      <c r="AE25" s="14">
        <f>AB25+AC25</f>
        <v/>
      </c>
      <c r="AF25" s="8">
        <f>AE25/16*10</f>
        <v/>
      </c>
      <c r="AG25" s="8">
        <f>AA25</f>
        <v/>
      </c>
      <c r="AH25" s="8" t="n">
        <v>18</v>
      </c>
      <c r="AI25" s="5" t="n"/>
    </row>
    <row r="26">
      <c r="A26" s="50" t="n"/>
      <c r="B26" s="4" t="n">
        <v>18</v>
      </c>
      <c r="C26" s="4" t="n">
        <v>18</v>
      </c>
      <c r="D26" s="7" t="inlineStr">
        <is>
          <t>عبدالله نوح قاسم جان محمد البلوشى</t>
        </is>
      </c>
      <c r="E26" s="15" t="inlineStr">
        <is>
          <t>NA</t>
        </is>
      </c>
      <c r="F26" s="15" t="inlineStr">
        <is>
          <t>NA</t>
        </is>
      </c>
      <c r="G26" s="4" t="n"/>
      <c r="H26" s="4" t="n"/>
      <c r="I26" s="4" t="n"/>
      <c r="J26" s="4" t="n"/>
      <c r="K26" s="9" t="n">
        <v>0</v>
      </c>
      <c r="L26" s="4" t="n"/>
      <c r="M26" s="4" t="n"/>
      <c r="N26" s="4" t="n"/>
      <c r="O26" s="4" t="n"/>
      <c r="P26" s="9" t="n">
        <v>0</v>
      </c>
      <c r="Q26" s="4" t="n"/>
      <c r="R26" s="4" t="n"/>
      <c r="S26" s="4" t="n"/>
      <c r="T26" s="4" t="n"/>
      <c r="U26" s="9" t="n">
        <v>0</v>
      </c>
      <c r="V26" s="4" t="n"/>
      <c r="W26" s="4" t="n"/>
      <c r="X26" s="4" t="n"/>
      <c r="Y26" s="4" t="n"/>
      <c r="Z26" s="9" t="n">
        <v>0</v>
      </c>
      <c r="AA26" s="10">
        <f>AVERAGE(K26,P26,U26,Z26)</f>
        <v/>
      </c>
      <c r="AB26" s="11">
        <f>COUNTIF(G26:Z26,"P")</f>
        <v/>
      </c>
      <c r="AC26" s="12">
        <f>COUNTIF(G26:Z26,"L")</f>
        <v/>
      </c>
      <c r="AD26" s="13">
        <f>COUNTIF(G26:Z26,"A")</f>
        <v/>
      </c>
      <c r="AE26" s="14">
        <f>AB26+AC26</f>
        <v/>
      </c>
      <c r="AF26" s="8">
        <f>AE26/16*10</f>
        <v/>
      </c>
      <c r="AG26" s="8">
        <f>AA26</f>
        <v/>
      </c>
      <c r="AH26" s="8" t="n">
        <v>18</v>
      </c>
      <c r="AI26" s="5" t="n"/>
    </row>
    <row r="27">
      <c r="A27" s="50" t="n"/>
      <c r="B27" s="4" t="n">
        <v>19</v>
      </c>
      <c r="C27" s="4" t="n">
        <v>19</v>
      </c>
      <c r="D27" s="7" t="inlineStr">
        <is>
          <t>غزيل سالم خميس حمد العامري</t>
        </is>
      </c>
      <c r="E27" s="15" t="inlineStr">
        <is>
          <t>NA</t>
        </is>
      </c>
      <c r="F27" s="15" t="inlineStr">
        <is>
          <t>NA</t>
        </is>
      </c>
      <c r="G27" s="4" t="n"/>
      <c r="H27" s="4" t="n"/>
      <c r="I27" s="4" t="n"/>
      <c r="J27" s="4" t="n"/>
      <c r="K27" s="9" t="n">
        <v>0</v>
      </c>
      <c r="L27" s="4" t="n"/>
      <c r="M27" s="4" t="n"/>
      <c r="N27" s="4" t="n"/>
      <c r="O27" s="4" t="n"/>
      <c r="P27" s="9" t="n">
        <v>0</v>
      </c>
      <c r="Q27" s="4" t="n"/>
      <c r="R27" s="4" t="n"/>
      <c r="S27" s="4" t="n"/>
      <c r="T27" s="4" t="n"/>
      <c r="U27" s="9" t="n">
        <v>0</v>
      </c>
      <c r="V27" s="4" t="n"/>
      <c r="W27" s="4" t="n"/>
      <c r="X27" s="4" t="n"/>
      <c r="Y27" s="4" t="n"/>
      <c r="Z27" s="9" t="n">
        <v>0</v>
      </c>
      <c r="AA27" s="10">
        <f>AVERAGE(K27,P27,U27,Z27)</f>
        <v/>
      </c>
      <c r="AB27" s="11">
        <f>COUNTIF(G27:Z27,"P")</f>
        <v/>
      </c>
      <c r="AC27" s="12">
        <f>COUNTIF(G27:Z27,"L")</f>
        <v/>
      </c>
      <c r="AD27" s="13">
        <f>COUNTIF(G27:Z27,"A")</f>
        <v/>
      </c>
      <c r="AE27" s="14">
        <f>AB27+AC27</f>
        <v/>
      </c>
      <c r="AF27" s="8">
        <f>AE27/16*10</f>
        <v/>
      </c>
      <c r="AG27" s="8">
        <f>AA27</f>
        <v/>
      </c>
      <c r="AH27" s="8" t="n">
        <v>20</v>
      </c>
      <c r="AI27" s="5" t="n"/>
    </row>
    <row r="28">
      <c r="A28" s="50" t="n"/>
      <c r="B28" s="4" t="n">
        <v>20</v>
      </c>
      <c r="C28" s="4" t="n">
        <v>20</v>
      </c>
      <c r="D28" s="7" t="inlineStr">
        <is>
          <t>فاطمه ابراهيم حسن احمد البلوشي</t>
        </is>
      </c>
      <c r="E28" s="15" t="inlineStr">
        <is>
          <t>NA</t>
        </is>
      </c>
      <c r="F28" s="15" t="inlineStr">
        <is>
          <t>NA</t>
        </is>
      </c>
      <c r="G28" s="4" t="n"/>
      <c r="H28" s="4" t="n"/>
      <c r="I28" s="4" t="n"/>
      <c r="J28" s="4" t="n"/>
      <c r="K28" s="9" t="n">
        <v>0</v>
      </c>
      <c r="L28" s="4" t="n"/>
      <c r="M28" s="4" t="n"/>
      <c r="N28" s="4" t="n"/>
      <c r="O28" s="4" t="n"/>
      <c r="P28" s="9" t="n">
        <v>0</v>
      </c>
      <c r="Q28" s="4" t="n"/>
      <c r="R28" s="4" t="n"/>
      <c r="S28" s="4" t="n"/>
      <c r="T28" s="4" t="n"/>
      <c r="U28" s="9" t="n">
        <v>0</v>
      </c>
      <c r="V28" s="4" t="n"/>
      <c r="W28" s="4" t="n"/>
      <c r="X28" s="4" t="n"/>
      <c r="Y28" s="4" t="n"/>
      <c r="Z28" s="9" t="n">
        <v>0</v>
      </c>
      <c r="AA28" s="10">
        <f>AVERAGE(K28,P28,U28,Z28)</f>
        <v/>
      </c>
      <c r="AB28" s="11">
        <f>COUNTIF(G28:Z28,"P")</f>
        <v/>
      </c>
      <c r="AC28" s="12">
        <f>COUNTIF(G28:Z28,"L")</f>
        <v/>
      </c>
      <c r="AD28" s="13">
        <f>COUNTIF(G28:Z28,"A")</f>
        <v/>
      </c>
      <c r="AE28" s="14">
        <f>AB28+AC28</f>
        <v/>
      </c>
      <c r="AF28" s="8">
        <f>AE28/16*10</f>
        <v/>
      </c>
      <c r="AG28" s="8">
        <f>AA28</f>
        <v/>
      </c>
      <c r="AH28" s="8" t="n">
        <v>18</v>
      </c>
      <c r="AI28" s="5" t="n"/>
    </row>
    <row r="29">
      <c r="A29" s="50" t="n"/>
      <c r="B29" s="4" t="n">
        <v>21</v>
      </c>
      <c r="C29" s="4" t="n">
        <v>21</v>
      </c>
      <c r="D29" s="7" t="inlineStr">
        <is>
          <t>لمى منصر صالح عبدالله شبثان</t>
        </is>
      </c>
      <c r="E29" s="15" t="inlineStr">
        <is>
          <t>NA</t>
        </is>
      </c>
      <c r="F29" s="15" t="inlineStr">
        <is>
          <t>NA</t>
        </is>
      </c>
      <c r="G29" s="4" t="n"/>
      <c r="H29" s="4" t="n"/>
      <c r="I29" s="4" t="n"/>
      <c r="J29" s="4" t="n"/>
      <c r="K29" s="9" t="n">
        <v>0</v>
      </c>
      <c r="L29" s="4" t="n"/>
      <c r="M29" s="4" t="n"/>
      <c r="N29" s="4" t="n"/>
      <c r="O29" s="4" t="n"/>
      <c r="P29" s="9" t="n">
        <v>0</v>
      </c>
      <c r="Q29" s="4" t="n"/>
      <c r="R29" s="4" t="n"/>
      <c r="S29" s="4" t="n"/>
      <c r="T29" s="4" t="n"/>
      <c r="U29" s="9" t="n">
        <v>0</v>
      </c>
      <c r="V29" s="4" t="n"/>
      <c r="W29" s="4" t="n"/>
      <c r="X29" s="4" t="n"/>
      <c r="Y29" s="4" t="n"/>
      <c r="Z29" s="9" t="n">
        <v>0</v>
      </c>
      <c r="AA29" s="10">
        <f>AVERAGE(K29,P29,U29,Z29)</f>
        <v/>
      </c>
      <c r="AB29" s="11">
        <f>COUNTIF(G29:Z29,"P")</f>
        <v/>
      </c>
      <c r="AC29" s="12">
        <f>COUNTIF(G29:Z29,"L")</f>
        <v/>
      </c>
      <c r="AD29" s="13">
        <f>COUNTIF(G29:Z29,"A")</f>
        <v/>
      </c>
      <c r="AE29" s="14">
        <f>AB29+AC29</f>
        <v/>
      </c>
      <c r="AF29" s="8">
        <f>AE29/16*10</f>
        <v/>
      </c>
      <c r="AG29" s="8">
        <f>AA29</f>
        <v/>
      </c>
      <c r="AH29" s="8" t="n">
        <v>19</v>
      </c>
      <c r="AI29" s="5" t="n"/>
    </row>
    <row r="30">
      <c r="A30" s="50" t="n"/>
      <c r="B30" s="4" t="n">
        <v>22</v>
      </c>
      <c r="C30" s="4" t="n">
        <v>22</v>
      </c>
      <c r="D30" s="7" t="inlineStr">
        <is>
          <t>محمد خالد سالم سلطان الكعبى</t>
        </is>
      </c>
      <c r="E30" s="15" t="inlineStr">
        <is>
          <t>NA</t>
        </is>
      </c>
      <c r="F30" s="15" t="inlineStr">
        <is>
          <t>NA</t>
        </is>
      </c>
      <c r="G30" s="4" t="n"/>
      <c r="H30" s="4" t="n"/>
      <c r="I30" s="4" t="n"/>
      <c r="J30" s="4" t="n"/>
      <c r="K30" s="9" t="n">
        <v>0</v>
      </c>
      <c r="L30" s="4" t="n"/>
      <c r="M30" s="4" t="n"/>
      <c r="N30" s="4" t="n"/>
      <c r="O30" s="4" t="n"/>
      <c r="P30" s="9" t="n">
        <v>0</v>
      </c>
      <c r="Q30" s="4" t="n"/>
      <c r="R30" s="4" t="n"/>
      <c r="S30" s="4" t="n"/>
      <c r="T30" s="4" t="n"/>
      <c r="U30" s="9" t="n">
        <v>0</v>
      </c>
      <c r="V30" s="4" t="n"/>
      <c r="W30" s="4" t="n"/>
      <c r="X30" s="4" t="n"/>
      <c r="Y30" s="4" t="n"/>
      <c r="Z30" s="9" t="n">
        <v>0</v>
      </c>
      <c r="AA30" s="10">
        <f>AVERAGE(K30,P30,U30,Z30)</f>
        <v/>
      </c>
      <c r="AB30" s="11">
        <f>COUNTIF(G30:Z30,"P")</f>
        <v/>
      </c>
      <c r="AC30" s="12">
        <f>COUNTIF(G30:Z30,"L")</f>
        <v/>
      </c>
      <c r="AD30" s="13">
        <f>COUNTIF(G30:Z30,"A")</f>
        <v/>
      </c>
      <c r="AE30" s="14">
        <f>AB30+AC30</f>
        <v/>
      </c>
      <c r="AF30" s="8">
        <f>AE30/16*10</f>
        <v/>
      </c>
      <c r="AG30" s="8">
        <f>AA30</f>
        <v/>
      </c>
      <c r="AH30" s="8" t="n">
        <v>19</v>
      </c>
      <c r="AI30" s="5" t="n"/>
    </row>
    <row r="31">
      <c r="A31" s="50" t="n"/>
      <c r="B31" s="4" t="n">
        <v>23</v>
      </c>
      <c r="C31" s="4" t="n">
        <v>23</v>
      </c>
      <c r="D31" s="7" t="inlineStr">
        <is>
          <t>محمد خميس راشد سعيد الظاهري</t>
        </is>
      </c>
      <c r="E31" s="15" t="inlineStr">
        <is>
          <t>NA</t>
        </is>
      </c>
      <c r="F31" s="15" t="inlineStr">
        <is>
          <t>NA</t>
        </is>
      </c>
      <c r="G31" s="4" t="n"/>
      <c r="H31" s="4" t="n"/>
      <c r="I31" s="4" t="n"/>
      <c r="J31" s="4" t="n"/>
      <c r="K31" s="9" t="n">
        <v>0</v>
      </c>
      <c r="L31" s="4" t="n"/>
      <c r="M31" s="4" t="n"/>
      <c r="N31" s="4" t="n"/>
      <c r="O31" s="4" t="n"/>
      <c r="P31" s="9" t="n">
        <v>0</v>
      </c>
      <c r="Q31" s="4" t="n"/>
      <c r="R31" s="4" t="n"/>
      <c r="S31" s="4" t="n"/>
      <c r="T31" s="4" t="n"/>
      <c r="U31" s="9" t="n">
        <v>0</v>
      </c>
      <c r="V31" s="4" t="n"/>
      <c r="W31" s="4" t="n"/>
      <c r="X31" s="4" t="n"/>
      <c r="Y31" s="4" t="n"/>
      <c r="Z31" s="9" t="n">
        <v>0</v>
      </c>
      <c r="AA31" s="10">
        <f>AVERAGE(K31,P31,U31,Z31)</f>
        <v/>
      </c>
      <c r="AB31" s="11">
        <f>COUNTIF(G31:Z31,"P")</f>
        <v/>
      </c>
      <c r="AC31" s="12">
        <f>COUNTIF(G31:Z31,"L")</f>
        <v/>
      </c>
      <c r="AD31" s="13">
        <f>COUNTIF(G31:Z31,"A")</f>
        <v/>
      </c>
      <c r="AE31" s="14">
        <f>AB31+AC31</f>
        <v/>
      </c>
      <c r="AF31" s="8">
        <f>AE31/16*10</f>
        <v/>
      </c>
      <c r="AG31" s="8">
        <f>AA31</f>
        <v/>
      </c>
      <c r="AH31" s="8" t="n">
        <v>20</v>
      </c>
      <c r="AI31" s="5" t="n"/>
    </row>
    <row r="32">
      <c r="A32" s="50" t="n"/>
      <c r="B32" s="4" t="n">
        <v>24</v>
      </c>
      <c r="C32" s="4" t="n">
        <v>24</v>
      </c>
      <c r="D32" s="7" t="inlineStr">
        <is>
          <t>مزنه احمد اسماعيل علي البلوشي</t>
        </is>
      </c>
      <c r="E32" s="15" t="inlineStr">
        <is>
          <t>NA</t>
        </is>
      </c>
      <c r="F32" s="15" t="inlineStr">
        <is>
          <t>NA</t>
        </is>
      </c>
      <c r="G32" s="4" t="n"/>
      <c r="H32" s="4" t="n"/>
      <c r="I32" s="4" t="n"/>
      <c r="J32" s="4" t="n"/>
      <c r="K32" s="9" t="n">
        <v>0</v>
      </c>
      <c r="L32" s="4" t="n"/>
      <c r="M32" s="4" t="n"/>
      <c r="N32" s="4" t="n"/>
      <c r="O32" s="4" t="n"/>
      <c r="P32" s="9" t="n">
        <v>0</v>
      </c>
      <c r="Q32" s="4" t="n"/>
      <c r="R32" s="4" t="n"/>
      <c r="S32" s="4" t="n"/>
      <c r="T32" s="4" t="n"/>
      <c r="U32" s="9" t="n">
        <v>0</v>
      </c>
      <c r="V32" s="4" t="n"/>
      <c r="W32" s="4" t="n"/>
      <c r="X32" s="4" t="n"/>
      <c r="Y32" s="4" t="n"/>
      <c r="Z32" s="9" t="n">
        <v>0</v>
      </c>
      <c r="AA32" s="10">
        <f>AVERAGE(K32,P32,U32,Z32)</f>
        <v/>
      </c>
      <c r="AB32" s="11">
        <f>COUNTIF(G32:Z32,"P")</f>
        <v/>
      </c>
      <c r="AC32" s="12">
        <f>COUNTIF(G32:Z32,"L")</f>
        <v/>
      </c>
      <c r="AD32" s="13">
        <f>COUNTIF(G32:Z32,"A")</f>
        <v/>
      </c>
      <c r="AE32" s="14">
        <f>AB32+AC32</f>
        <v/>
      </c>
      <c r="AF32" s="8">
        <f>AE32/16*10</f>
        <v/>
      </c>
      <c r="AG32" s="8">
        <f>AA32</f>
        <v/>
      </c>
      <c r="AH32" s="8" t="n">
        <v>18</v>
      </c>
      <c r="AI32" s="5" t="n"/>
    </row>
    <row r="33">
      <c r="A33" s="50" t="n"/>
      <c r="B33" s="4" t="n">
        <v>25</v>
      </c>
      <c r="C33" s="4" t="n">
        <v>25</v>
      </c>
      <c r="D33" s="7" t="inlineStr">
        <is>
          <t>ميره ابراهيم حسن احمد البلوشي</t>
        </is>
      </c>
      <c r="E33" s="15" t="inlineStr">
        <is>
          <t>NA</t>
        </is>
      </c>
      <c r="F33" s="15" t="inlineStr">
        <is>
          <t>NA</t>
        </is>
      </c>
      <c r="G33" s="4" t="n"/>
      <c r="H33" s="4" t="n"/>
      <c r="I33" s="4" t="n"/>
      <c r="J33" s="4" t="n"/>
      <c r="K33" s="9" t="n">
        <v>0</v>
      </c>
      <c r="L33" s="4" t="n"/>
      <c r="M33" s="4" t="n"/>
      <c r="N33" s="4" t="n"/>
      <c r="O33" s="4" t="n"/>
      <c r="P33" s="9" t="n">
        <v>0</v>
      </c>
      <c r="Q33" s="4" t="n"/>
      <c r="R33" s="4" t="n"/>
      <c r="S33" s="4" t="n"/>
      <c r="T33" s="4" t="n"/>
      <c r="U33" s="9" t="n">
        <v>0</v>
      </c>
      <c r="V33" s="4" t="n"/>
      <c r="W33" s="4" t="n"/>
      <c r="X33" s="4" t="n"/>
      <c r="Y33" s="4" t="n"/>
      <c r="Z33" s="9" t="n">
        <v>0</v>
      </c>
      <c r="AA33" s="10">
        <f>AVERAGE(K33,P33,U33,Z33)</f>
        <v/>
      </c>
      <c r="AB33" s="11">
        <f>COUNTIF(G33:Z33,"P")</f>
        <v/>
      </c>
      <c r="AC33" s="12">
        <f>COUNTIF(G33:Z33,"L")</f>
        <v/>
      </c>
      <c r="AD33" s="13">
        <f>COUNTIF(G33:Z33,"A")</f>
        <v/>
      </c>
      <c r="AE33" s="14">
        <f>AB33+AC33</f>
        <v/>
      </c>
      <c r="AF33" s="8">
        <f>AE33/16*10</f>
        <v/>
      </c>
      <c r="AG33" s="8">
        <f>AA33</f>
        <v/>
      </c>
      <c r="AH33" s="8" t="n">
        <v>20</v>
      </c>
      <c r="AI33" s="5" t="n"/>
    </row>
    <row r="34">
      <c r="A34" s="50" t="n"/>
      <c r="B34" s="4" t="n">
        <v>26</v>
      </c>
      <c r="C34" s="4" t="n">
        <v>26</v>
      </c>
      <c r="D34" s="7" t="inlineStr">
        <is>
          <t>ميره محمد عبيد راشد الظاهري</t>
        </is>
      </c>
      <c r="E34" s="15" t="inlineStr">
        <is>
          <t>NA</t>
        </is>
      </c>
      <c r="F34" s="15" t="inlineStr">
        <is>
          <t>NA</t>
        </is>
      </c>
      <c r="G34" s="4" t="n"/>
      <c r="H34" s="4" t="n"/>
      <c r="I34" s="4" t="n"/>
      <c r="J34" s="4" t="n"/>
      <c r="K34" s="9" t="n">
        <v>0</v>
      </c>
      <c r="L34" s="4" t="n"/>
      <c r="M34" s="4" t="n"/>
      <c r="N34" s="4" t="n"/>
      <c r="O34" s="4" t="n"/>
      <c r="P34" s="9" t="n">
        <v>0</v>
      </c>
      <c r="Q34" s="4" t="n"/>
      <c r="R34" s="4" t="n"/>
      <c r="S34" s="4" t="n"/>
      <c r="T34" s="4" t="n"/>
      <c r="U34" s="9" t="n">
        <v>0</v>
      </c>
      <c r="V34" s="4" t="n"/>
      <c r="W34" s="4" t="n"/>
      <c r="X34" s="4" t="n"/>
      <c r="Y34" s="4" t="n"/>
      <c r="Z34" s="9" t="n">
        <v>0</v>
      </c>
      <c r="AA34" s="10">
        <f>AVERAGE(K34,P34,U34,Z34)</f>
        <v/>
      </c>
      <c r="AB34" s="11">
        <f>COUNTIF(G34:Z34,"P")</f>
        <v/>
      </c>
      <c r="AC34" s="12">
        <f>COUNTIF(G34:Z34,"L")</f>
        <v/>
      </c>
      <c r="AD34" s="13">
        <f>COUNTIF(G34:Z34,"A")</f>
        <v/>
      </c>
      <c r="AE34" s="14">
        <f>AB34+AC34</f>
        <v/>
      </c>
      <c r="AF34" s="8">
        <f>AE34/16*10</f>
        <v/>
      </c>
      <c r="AG34" s="8">
        <f>AA34</f>
        <v/>
      </c>
      <c r="AH34" s="8" t="n">
        <v>20</v>
      </c>
      <c r="AI34" s="5" t="n"/>
    </row>
    <row r="35">
      <c r="A35" s="50" t="n"/>
      <c r="B35" s="4" t="n">
        <v>27</v>
      </c>
      <c r="C35" s="4" t="n">
        <v>27</v>
      </c>
      <c r="D35" s="7" t="inlineStr">
        <is>
          <t>هند عبيد جابر عظيمان الاحبابي</t>
        </is>
      </c>
      <c r="E35" s="15" t="inlineStr">
        <is>
          <t>NA</t>
        </is>
      </c>
      <c r="F35" s="15" t="inlineStr">
        <is>
          <t>NA</t>
        </is>
      </c>
      <c r="G35" s="4" t="n"/>
      <c r="H35" s="4" t="n"/>
      <c r="I35" s="4" t="n"/>
      <c r="J35" s="4" t="n"/>
      <c r="K35" s="9" t="n">
        <v>0</v>
      </c>
      <c r="L35" s="4" t="n"/>
      <c r="M35" s="4" t="n"/>
      <c r="N35" s="4" t="n"/>
      <c r="O35" s="4" t="n"/>
      <c r="P35" s="9" t="n">
        <v>0</v>
      </c>
      <c r="Q35" s="4" t="n"/>
      <c r="R35" s="4" t="n"/>
      <c r="S35" s="4" t="n"/>
      <c r="T35" s="4" t="n"/>
      <c r="U35" s="9" t="n">
        <v>0</v>
      </c>
      <c r="V35" s="4" t="n"/>
      <c r="W35" s="4" t="n"/>
      <c r="X35" s="4" t="n"/>
      <c r="Y35" s="4" t="n"/>
      <c r="Z35" s="9" t="n">
        <v>0</v>
      </c>
      <c r="AA35" s="10">
        <f>AVERAGE(K35,P35,U35,Z35)</f>
        <v/>
      </c>
      <c r="AB35" s="11">
        <f>COUNTIF(G35:Z35,"P")</f>
        <v/>
      </c>
      <c r="AC35" s="12">
        <f>COUNTIF(G35:Z35,"L")</f>
        <v/>
      </c>
      <c r="AD35" s="13">
        <f>COUNTIF(G35:Z35,"A")</f>
        <v/>
      </c>
      <c r="AE35" s="14">
        <f>AB35+AC35</f>
        <v/>
      </c>
      <c r="AF35" s="8">
        <f>AE35/16*10</f>
        <v/>
      </c>
      <c r="AG35" s="8">
        <f>AA35</f>
        <v/>
      </c>
      <c r="AH35" s="8" t="n">
        <v>18</v>
      </c>
      <c r="AI35" s="5" t="n"/>
    </row>
    <row r="36">
      <c r="A36" s="50" t="n"/>
      <c r="B36" s="4" t="n">
        <v>28</v>
      </c>
      <c r="C36" s="4" t="n">
        <v>28</v>
      </c>
      <c r="D36" s="7" t="inlineStr">
        <is>
          <t>هند محمد عمر مبارك الصيعري</t>
        </is>
      </c>
      <c r="E36" s="15" t="inlineStr">
        <is>
          <t>NA</t>
        </is>
      </c>
      <c r="F36" s="15" t="inlineStr">
        <is>
          <t>NA</t>
        </is>
      </c>
      <c r="G36" s="4" t="n"/>
      <c r="H36" s="4" t="n"/>
      <c r="I36" s="4" t="n"/>
      <c r="J36" s="4" t="n"/>
      <c r="K36" s="9" t="n">
        <v>5</v>
      </c>
      <c r="L36" s="4" t="inlineStr">
        <is>
          <t>p</t>
        </is>
      </c>
      <c r="M36" s="4" t="inlineStr">
        <is>
          <t>p</t>
        </is>
      </c>
      <c r="N36" s="4" t="inlineStr">
        <is>
          <t>p</t>
        </is>
      </c>
      <c r="O36" s="4" t="inlineStr">
        <is>
          <t>p</t>
        </is>
      </c>
      <c r="P36" s="9" t="n">
        <v>5</v>
      </c>
      <c r="Q36" s="4" t="inlineStr">
        <is>
          <t>p</t>
        </is>
      </c>
      <c r="R36" s="4" t="inlineStr">
        <is>
          <t>p</t>
        </is>
      </c>
      <c r="S36" s="4" t="inlineStr">
        <is>
          <t>p</t>
        </is>
      </c>
      <c r="T36" s="4" t="inlineStr">
        <is>
          <t>p</t>
        </is>
      </c>
      <c r="U36" s="9" t="n">
        <v>5</v>
      </c>
      <c r="V36" s="4" t="inlineStr">
        <is>
          <t>a</t>
        </is>
      </c>
      <c r="W36" s="4" t="inlineStr">
        <is>
          <t>a</t>
        </is>
      </c>
      <c r="X36" s="4" t="inlineStr">
        <is>
          <t>a</t>
        </is>
      </c>
      <c r="Y36" s="4" t="inlineStr">
        <is>
          <t>a</t>
        </is>
      </c>
      <c r="Z36" s="9" t="n">
        <v>5</v>
      </c>
      <c r="AA36" s="10">
        <f>AVERAGE(K36,P36,U36,Z36)</f>
        <v/>
      </c>
      <c r="AB36" s="11">
        <f>COUNTIF(G36:Z36,"P")</f>
        <v/>
      </c>
      <c r="AC36" s="12">
        <f>COUNTIF(G36:Z36,"L")</f>
        <v/>
      </c>
      <c r="AD36" s="13">
        <f>COUNTIF(G36:Z36,"A")</f>
        <v/>
      </c>
      <c r="AE36" s="14">
        <f>AB36+AC36</f>
        <v/>
      </c>
      <c r="AF36" s="8">
        <f>AE36/16*10</f>
        <v/>
      </c>
      <c r="AG36" s="8">
        <f>AA36</f>
        <v/>
      </c>
      <c r="AH36" s="8" t="n">
        <v>18</v>
      </c>
      <c r="AI36" s="5" t="n"/>
    </row>
    <row r="37">
      <c r="A37" s="50" t="n"/>
      <c r="B37" s="4" t="n">
        <v>29</v>
      </c>
      <c r="C37" s="4" t="n">
        <v>29</v>
      </c>
      <c r="D37" s="7" t="inlineStr">
        <is>
          <t>هند محمد يسلم عوض الصيعري</t>
        </is>
      </c>
      <c r="E37" s="15" t="inlineStr">
        <is>
          <t>NA</t>
        </is>
      </c>
      <c r="F37" s="15" t="inlineStr">
        <is>
          <t>NA</t>
        </is>
      </c>
      <c r="G37" s="4" t="n"/>
      <c r="H37" s="4" t="n"/>
      <c r="I37" s="4" t="n"/>
      <c r="J37" s="4" t="n"/>
      <c r="K37" s="9" t="n">
        <v>0</v>
      </c>
      <c r="L37" s="4" t="n"/>
      <c r="M37" s="4" t="n"/>
      <c r="N37" s="4" t="n"/>
      <c r="O37" s="4" t="n"/>
      <c r="P37" s="9" t="n">
        <v>0</v>
      </c>
      <c r="Q37" s="4" t="n"/>
      <c r="R37" s="4" t="n"/>
      <c r="S37" s="4" t="n"/>
      <c r="T37" s="4" t="n"/>
      <c r="U37" s="9" t="n">
        <v>0</v>
      </c>
      <c r="V37" s="4" t="n"/>
      <c r="W37" s="4" t="n"/>
      <c r="X37" s="4" t="n"/>
      <c r="Y37" s="4" t="n"/>
      <c r="Z37" s="9" t="n">
        <v>0</v>
      </c>
      <c r="AA37" s="10">
        <f>AVERAGE(K37,P37,U37,Z37)</f>
        <v/>
      </c>
      <c r="AB37" s="11">
        <f>COUNTIF(G37:Z37,"P")</f>
        <v/>
      </c>
      <c r="AC37" s="12">
        <f>COUNTIF(G37:Z37,"L")</f>
        <v/>
      </c>
      <c r="AD37" s="13">
        <f>COUNTIF(G37:Z37,"A")</f>
        <v/>
      </c>
      <c r="AE37" s="14">
        <f>AB37+AC37</f>
        <v/>
      </c>
      <c r="AF37" s="8">
        <f>AE37/16*10</f>
        <v/>
      </c>
      <c r="AG37" s="8">
        <f>AA37</f>
        <v/>
      </c>
      <c r="AH37" s="8" t="n">
        <v>19</v>
      </c>
      <c r="AI37" s="5" t="n"/>
    </row>
    <row r="38">
      <c r="A38" s="50" t="n"/>
      <c r="B38" s="4" t="n">
        <v>30</v>
      </c>
      <c r="C38" s="4" t="n"/>
      <c r="D38" s="7" t="n"/>
      <c r="E38" s="15" t="inlineStr">
        <is>
          <t>NA</t>
        </is>
      </c>
      <c r="F38" s="15" t="inlineStr">
        <is>
          <t>NA</t>
        </is>
      </c>
      <c r="G38" s="4" t="n"/>
      <c r="H38" s="4" t="n"/>
      <c r="I38" s="4" t="n"/>
      <c r="J38" s="4" t="n"/>
      <c r="K38" s="9" t="n">
        <v>0</v>
      </c>
      <c r="L38" s="4" t="n"/>
      <c r="M38" s="4" t="n"/>
      <c r="N38" s="4" t="n"/>
      <c r="O38" s="4" t="n"/>
      <c r="P38" s="9" t="n">
        <v>0</v>
      </c>
      <c r="Q38" s="4" t="n"/>
      <c r="R38" s="4" t="n"/>
      <c r="S38" s="4" t="n"/>
      <c r="T38" s="4" t="n"/>
      <c r="U38" s="9" t="n">
        <v>0</v>
      </c>
      <c r="V38" s="4" t="n"/>
      <c r="W38" s="4" t="n"/>
      <c r="X38" s="4" t="n"/>
      <c r="Y38" s="4" t="n"/>
      <c r="Z38" s="9" t="n">
        <v>0</v>
      </c>
      <c r="AA38" s="10">
        <f>AVERAGE(K38,P38,U38,Z38)</f>
        <v/>
      </c>
      <c r="AB38" s="11">
        <f>COUNTIF(G38:Z38,"P")</f>
        <v/>
      </c>
      <c r="AC38" s="12">
        <f>COUNTIF(G38:Z38,"L")</f>
        <v/>
      </c>
      <c r="AD38" s="13">
        <f>COUNTIF(G38:Z38,"A")</f>
        <v/>
      </c>
      <c r="AE38" s="14">
        <f>AB38+AC38</f>
        <v/>
      </c>
      <c r="AF38" s="8">
        <f>AE38/16*10</f>
        <v/>
      </c>
      <c r="AG38" s="8">
        <f>AA38</f>
        <v/>
      </c>
      <c r="AH38" s="8" t="n"/>
      <c r="AI38" s="5" t="n"/>
    </row>
    <row r="39">
      <c r="A39" s="50" t="n"/>
      <c r="B39" s="4" t="n">
        <v>31</v>
      </c>
      <c r="C39" s="4" t="n"/>
      <c r="D39" s="7" t="n"/>
      <c r="E39" s="15" t="inlineStr">
        <is>
          <t>NA</t>
        </is>
      </c>
      <c r="F39" s="15" t="inlineStr">
        <is>
          <t>NA</t>
        </is>
      </c>
      <c r="G39" s="4" t="n"/>
      <c r="H39" s="4" t="n"/>
      <c r="I39" s="4" t="n"/>
      <c r="J39" s="4" t="n"/>
      <c r="K39" s="9" t="n">
        <v>0</v>
      </c>
      <c r="L39" s="4" t="n"/>
      <c r="M39" s="4" t="n"/>
      <c r="N39" s="4" t="n"/>
      <c r="O39" s="4" t="n"/>
      <c r="P39" s="9" t="n">
        <v>0</v>
      </c>
      <c r="Q39" s="4" t="n"/>
      <c r="R39" s="4" t="n"/>
      <c r="S39" s="4" t="n"/>
      <c r="T39" s="4" t="n"/>
      <c r="U39" s="9" t="n">
        <v>0</v>
      </c>
      <c r="V39" s="4" t="n"/>
      <c r="W39" s="4" t="n"/>
      <c r="X39" s="4" t="n"/>
      <c r="Y39" s="4" t="n"/>
      <c r="Z39" s="9" t="n">
        <v>0</v>
      </c>
      <c r="AA39" s="10">
        <f>AVERAGE(K39,P39,U39,Z39)</f>
        <v/>
      </c>
      <c r="AB39" s="11">
        <f>COUNTIF(G39:Z39,"P")</f>
        <v/>
      </c>
      <c r="AC39" s="12">
        <f>COUNTIF(G39:Z39,"L")</f>
        <v/>
      </c>
      <c r="AD39" s="13">
        <f>COUNTIF(G39:Z39,"A")</f>
        <v/>
      </c>
      <c r="AE39" s="14">
        <f>AB39+AC39</f>
        <v/>
      </c>
      <c r="AF39" s="8">
        <f>AE39/16*10</f>
        <v/>
      </c>
      <c r="AG39" s="8">
        <f>AA39</f>
        <v/>
      </c>
      <c r="AH39" s="8" t="n"/>
      <c r="AI39" s="5" t="n"/>
    </row>
    <row r="40">
      <c r="A40" s="50" t="n"/>
      <c r="B40" s="4" t="n">
        <v>32</v>
      </c>
      <c r="C40" s="4" t="n"/>
      <c r="D40" s="7" t="n"/>
      <c r="E40" s="15" t="inlineStr">
        <is>
          <t>NA</t>
        </is>
      </c>
      <c r="F40" s="15" t="inlineStr">
        <is>
          <t>NA</t>
        </is>
      </c>
      <c r="G40" s="4" t="n"/>
      <c r="H40" s="4" t="n"/>
      <c r="I40" s="4" t="n"/>
      <c r="J40" s="4" t="n"/>
      <c r="K40" s="9" t="n">
        <v>0</v>
      </c>
      <c r="L40" s="4" t="n"/>
      <c r="M40" s="4" t="n"/>
      <c r="N40" s="4" t="n"/>
      <c r="O40" s="4" t="n"/>
      <c r="P40" s="9" t="n">
        <v>0</v>
      </c>
      <c r="Q40" s="4" t="n"/>
      <c r="R40" s="4" t="n"/>
      <c r="S40" s="4" t="n"/>
      <c r="T40" s="4" t="n"/>
      <c r="U40" s="9" t="n">
        <v>0</v>
      </c>
      <c r="V40" s="4" t="n"/>
      <c r="W40" s="4" t="n"/>
      <c r="X40" s="4" t="n"/>
      <c r="Y40" s="4" t="n"/>
      <c r="Z40" s="9" t="n">
        <v>0</v>
      </c>
      <c r="AA40" s="10">
        <f>AVERAGE(K40,P40,U40,Z40)</f>
        <v/>
      </c>
      <c r="AB40" s="11">
        <f>COUNTIF(G40:Z40,"P")</f>
        <v/>
      </c>
      <c r="AC40" s="12">
        <f>COUNTIF(G40:Z40,"L")</f>
        <v/>
      </c>
      <c r="AD40" s="13">
        <f>COUNTIF(G40:Z40,"A")</f>
        <v/>
      </c>
      <c r="AE40" s="14">
        <f>AB40+AC40</f>
        <v/>
      </c>
      <c r="AF40" s="8">
        <f>AE40/16*10</f>
        <v/>
      </c>
      <c r="AG40" s="8">
        <f>AA40</f>
        <v/>
      </c>
      <c r="AH40" s="8" t="n"/>
      <c r="AI40" s="5" t="n"/>
    </row>
    <row r="41">
      <c r="A41" s="50" t="n"/>
      <c r="B41" s="4" t="n">
        <v>33</v>
      </c>
      <c r="C41" s="4" t="n"/>
      <c r="D41" s="7" t="n"/>
      <c r="E41" s="15" t="inlineStr">
        <is>
          <t>NA</t>
        </is>
      </c>
      <c r="F41" s="15" t="inlineStr">
        <is>
          <t>NA</t>
        </is>
      </c>
      <c r="G41" s="4" t="n"/>
      <c r="H41" s="4" t="n"/>
      <c r="I41" s="4" t="n"/>
      <c r="J41" s="4" t="n"/>
      <c r="K41" s="9" t="n">
        <v>0</v>
      </c>
      <c r="L41" s="4" t="n"/>
      <c r="M41" s="4" t="n"/>
      <c r="N41" s="4" t="n"/>
      <c r="O41" s="4" t="n"/>
      <c r="P41" s="9" t="n">
        <v>0</v>
      </c>
      <c r="Q41" s="4" t="n"/>
      <c r="R41" s="4" t="n"/>
      <c r="S41" s="4" t="n"/>
      <c r="T41" s="4" t="n"/>
      <c r="U41" s="9" t="n">
        <v>0</v>
      </c>
      <c r="V41" s="4" t="n"/>
      <c r="W41" s="4" t="n"/>
      <c r="X41" s="4" t="n"/>
      <c r="Y41" s="4" t="n"/>
      <c r="Z41" s="9" t="n">
        <v>0</v>
      </c>
      <c r="AA41" s="10">
        <f>AVERAGE(K41,P41,U41,Z41)</f>
        <v/>
      </c>
      <c r="AB41" s="11">
        <f>COUNTIF(G41:Z41,"P")</f>
        <v/>
      </c>
      <c r="AC41" s="12">
        <f>COUNTIF(G41:Z41,"L")</f>
        <v/>
      </c>
      <c r="AD41" s="13">
        <f>COUNTIF(G41:Z41,"A")</f>
        <v/>
      </c>
      <c r="AE41" s="14">
        <f>AB41+AC41</f>
        <v/>
      </c>
      <c r="AF41" s="8">
        <f>AE41/16*10</f>
        <v/>
      </c>
      <c r="AG41" s="8">
        <f>AA41</f>
        <v/>
      </c>
      <c r="AH41" s="8" t="n"/>
      <c r="AI41" s="5" t="n"/>
    </row>
    <row r="42">
      <c r="A42" s="50" t="n"/>
      <c r="B42" s="4" t="n">
        <v>34</v>
      </c>
      <c r="C42" s="4" t="n"/>
      <c r="D42" s="7" t="n"/>
      <c r="E42" s="15" t="inlineStr">
        <is>
          <t>NA</t>
        </is>
      </c>
      <c r="F42" s="15" t="inlineStr">
        <is>
          <t>NA</t>
        </is>
      </c>
      <c r="G42" s="4" t="n"/>
      <c r="H42" s="4" t="n"/>
      <c r="I42" s="4" t="n"/>
      <c r="J42" s="4" t="n"/>
      <c r="K42" s="9" t="n">
        <v>0</v>
      </c>
      <c r="L42" s="4" t="n"/>
      <c r="M42" s="4" t="n"/>
      <c r="N42" s="4" t="n"/>
      <c r="O42" s="4" t="n"/>
      <c r="P42" s="9" t="n">
        <v>0</v>
      </c>
      <c r="Q42" s="4" t="n"/>
      <c r="R42" s="4" t="n"/>
      <c r="S42" s="4" t="n"/>
      <c r="T42" s="4" t="n"/>
      <c r="U42" s="9" t="n">
        <v>0</v>
      </c>
      <c r="V42" s="4" t="n"/>
      <c r="W42" s="4" t="n"/>
      <c r="X42" s="4" t="n"/>
      <c r="Y42" s="4" t="n"/>
      <c r="Z42" s="9" t="n">
        <v>0</v>
      </c>
      <c r="AA42" s="10">
        <f>AVERAGE(K42,P42,U42,Z42)</f>
        <v/>
      </c>
      <c r="AB42" s="11">
        <f>COUNTIF(G42:Z42,"P")</f>
        <v/>
      </c>
      <c r="AC42" s="12">
        <f>COUNTIF(G42:Z42,"L")</f>
        <v/>
      </c>
      <c r="AD42" s="13">
        <f>COUNTIF(G42:Z42,"A")</f>
        <v/>
      </c>
      <c r="AE42" s="14">
        <f>AB42+AC42</f>
        <v/>
      </c>
      <c r="AF42" s="8">
        <f>AE42/16*10</f>
        <v/>
      </c>
      <c r="AG42" s="8">
        <f>AA42</f>
        <v/>
      </c>
      <c r="AH42" s="8" t="n"/>
      <c r="AI42" s="5" t="n"/>
    </row>
    <row r="43">
      <c r="A43" s="50" t="n"/>
      <c r="B43" s="4" t="n">
        <v>35</v>
      </c>
      <c r="C43" s="4" t="n"/>
      <c r="D43" s="7" t="n"/>
      <c r="E43" s="15" t="inlineStr">
        <is>
          <t>NA</t>
        </is>
      </c>
      <c r="F43" s="15" t="inlineStr">
        <is>
          <t>NA</t>
        </is>
      </c>
      <c r="G43" s="4" t="n"/>
      <c r="H43" s="4" t="n"/>
      <c r="I43" s="4" t="n"/>
      <c r="J43" s="4" t="n"/>
      <c r="K43" s="9" t="n">
        <v>0</v>
      </c>
      <c r="L43" s="4" t="n"/>
      <c r="M43" s="4" t="n"/>
      <c r="N43" s="4" t="n"/>
      <c r="O43" s="4" t="n"/>
      <c r="P43" s="9" t="n">
        <v>0</v>
      </c>
      <c r="Q43" s="4" t="n"/>
      <c r="R43" s="4" t="n"/>
      <c r="S43" s="4" t="n"/>
      <c r="T43" s="4" t="n"/>
      <c r="U43" s="9" t="n">
        <v>0</v>
      </c>
      <c r="V43" s="4" t="n"/>
      <c r="W43" s="4" t="n"/>
      <c r="X43" s="4" t="n"/>
      <c r="Y43" s="4" t="n"/>
      <c r="Z43" s="9" t="n">
        <v>0</v>
      </c>
      <c r="AA43" s="10">
        <f>AVERAGE(K43,P43,U43,Z43)</f>
        <v/>
      </c>
      <c r="AB43" s="11">
        <f>COUNTIF(G43:Z43,"P")</f>
        <v/>
      </c>
      <c r="AC43" s="12">
        <f>COUNTIF(G43:Z43,"L")</f>
        <v/>
      </c>
      <c r="AD43" s="13">
        <f>COUNTIF(G43:Z43,"A")</f>
        <v/>
      </c>
      <c r="AE43" s="14">
        <f>AB43+AC43</f>
        <v/>
      </c>
      <c r="AF43" s="8">
        <f>AE43/16*10</f>
        <v/>
      </c>
      <c r="AG43" s="8">
        <f>AA43</f>
        <v/>
      </c>
      <c r="AH43" s="8" t="n"/>
      <c r="AI43" s="5" t="n"/>
    </row>
    <row r="44">
      <c r="A44" s="50" t="n"/>
      <c r="B44" s="4" t="n">
        <v>36</v>
      </c>
      <c r="C44" s="4" t="n"/>
      <c r="D44" s="7" t="n"/>
      <c r="E44" s="15" t="inlineStr">
        <is>
          <t>NA</t>
        </is>
      </c>
      <c r="F44" s="15" t="inlineStr">
        <is>
          <t>NA</t>
        </is>
      </c>
      <c r="G44" s="4" t="n"/>
      <c r="H44" s="4" t="n"/>
      <c r="I44" s="4" t="n"/>
      <c r="J44" s="4" t="n"/>
      <c r="K44" s="9" t="n">
        <v>0</v>
      </c>
      <c r="L44" s="4" t="n"/>
      <c r="M44" s="4" t="n"/>
      <c r="N44" s="4" t="n"/>
      <c r="O44" s="4" t="n"/>
      <c r="P44" s="9" t="n">
        <v>0</v>
      </c>
      <c r="Q44" s="4" t="n"/>
      <c r="R44" s="4" t="n"/>
      <c r="S44" s="4" t="n"/>
      <c r="T44" s="4" t="n"/>
      <c r="U44" s="9" t="n">
        <v>0</v>
      </c>
      <c r="V44" s="4" t="n"/>
      <c r="W44" s="4" t="n"/>
      <c r="X44" s="4" t="n"/>
      <c r="Y44" s="4" t="n"/>
      <c r="Z44" s="9" t="n">
        <v>0</v>
      </c>
      <c r="AA44" s="10">
        <f>AVERAGE(K44,P44,U44,Z44)</f>
        <v/>
      </c>
      <c r="AB44" s="11">
        <f>COUNTIF(G44:Z44,"P")</f>
        <v/>
      </c>
      <c r="AC44" s="12">
        <f>COUNTIF(G44:Z44,"L")</f>
        <v/>
      </c>
      <c r="AD44" s="13">
        <f>COUNTIF(G44:Z44,"A")</f>
        <v/>
      </c>
      <c r="AE44" s="14">
        <f>AB44+AC44</f>
        <v/>
      </c>
      <c r="AF44" s="8">
        <f>AE44/16*10</f>
        <v/>
      </c>
      <c r="AG44" s="8">
        <f>AA44</f>
        <v/>
      </c>
      <c r="AH44" s="8" t="n"/>
      <c r="AI44" s="5" t="n"/>
    </row>
    <row r="45">
      <c r="A45" s="50" t="n"/>
      <c r="B45" s="4" t="n">
        <v>37</v>
      </c>
      <c r="C45" s="4" t="n"/>
      <c r="D45" s="7" t="n"/>
      <c r="E45" s="15" t="inlineStr">
        <is>
          <t>NA</t>
        </is>
      </c>
      <c r="F45" s="15" t="inlineStr">
        <is>
          <t>NA</t>
        </is>
      </c>
      <c r="G45" s="4" t="n"/>
      <c r="H45" s="4" t="n"/>
      <c r="I45" s="4" t="n"/>
      <c r="J45" s="4" t="n"/>
      <c r="K45" s="9" t="n">
        <v>0</v>
      </c>
      <c r="L45" s="4" t="n"/>
      <c r="M45" s="4" t="n"/>
      <c r="N45" s="4" t="n"/>
      <c r="O45" s="4" t="n"/>
      <c r="P45" s="9" t="n">
        <v>0</v>
      </c>
      <c r="Q45" s="4" t="n"/>
      <c r="R45" s="4" t="n"/>
      <c r="S45" s="4" t="n"/>
      <c r="T45" s="4" t="n"/>
      <c r="U45" s="9" t="n">
        <v>0</v>
      </c>
      <c r="V45" s="4" t="n"/>
      <c r="W45" s="4" t="n"/>
      <c r="X45" s="4" t="n"/>
      <c r="Y45" s="4" t="n"/>
      <c r="Z45" s="9" t="n">
        <v>0</v>
      </c>
      <c r="AA45" s="10">
        <f>AVERAGE(K45,P45,U45,Z45)</f>
        <v/>
      </c>
      <c r="AB45" s="11">
        <f>COUNTIF(G45:Z45,"P")</f>
        <v/>
      </c>
      <c r="AC45" s="12">
        <f>COUNTIF(G45:Z45,"L")</f>
        <v/>
      </c>
      <c r="AD45" s="13">
        <f>COUNTIF(G45:Z45,"A")</f>
        <v/>
      </c>
      <c r="AE45" s="14">
        <f>AB45+AC45</f>
        <v/>
      </c>
      <c r="AF45" s="8">
        <f>AE45/16*10</f>
        <v/>
      </c>
      <c r="AG45" s="8">
        <f>AA45</f>
        <v/>
      </c>
      <c r="AH45" s="8" t="n"/>
      <c r="AI45" s="5" t="n"/>
    </row>
    <row r="46">
      <c r="A46" s="50" t="n"/>
      <c r="B46" s="4" t="n">
        <v>38</v>
      </c>
      <c r="C46" s="4" t="n"/>
      <c r="D46" s="7" t="n"/>
      <c r="E46" s="15" t="inlineStr">
        <is>
          <t>NA</t>
        </is>
      </c>
      <c r="F46" s="15" t="inlineStr">
        <is>
          <t>NA</t>
        </is>
      </c>
      <c r="G46" s="4" t="n"/>
      <c r="H46" s="4" t="n"/>
      <c r="I46" s="4" t="n"/>
      <c r="J46" s="4" t="n"/>
      <c r="K46" s="9" t="n">
        <v>0</v>
      </c>
      <c r="L46" s="4" t="n"/>
      <c r="M46" s="4" t="n"/>
      <c r="N46" s="4" t="n"/>
      <c r="O46" s="4" t="n"/>
      <c r="P46" s="9" t="n">
        <v>0</v>
      </c>
      <c r="Q46" s="4" t="n"/>
      <c r="R46" s="4" t="n"/>
      <c r="S46" s="4" t="n"/>
      <c r="T46" s="4" t="n"/>
      <c r="U46" s="9" t="n">
        <v>0</v>
      </c>
      <c r="V46" s="4" t="n"/>
      <c r="W46" s="4" t="n"/>
      <c r="X46" s="4" t="n"/>
      <c r="Y46" s="4" t="n"/>
      <c r="Z46" s="9" t="n">
        <v>0</v>
      </c>
      <c r="AA46" s="10">
        <f>AVERAGE(K46,P46,U46,Z46)</f>
        <v/>
      </c>
      <c r="AB46" s="11">
        <f>COUNTIF(G46:Z46,"P")</f>
        <v/>
      </c>
      <c r="AC46" s="12">
        <f>COUNTIF(G46:Z46,"L")</f>
        <v/>
      </c>
      <c r="AD46" s="13">
        <f>COUNTIF(G46:Z46,"A")</f>
        <v/>
      </c>
      <c r="AE46" s="14">
        <f>AB46+AC46</f>
        <v/>
      </c>
      <c r="AF46" s="8">
        <f>AE46/16*10</f>
        <v/>
      </c>
      <c r="AG46" s="8">
        <f>AA46</f>
        <v/>
      </c>
      <c r="AH46" s="8" t="n"/>
      <c r="AI46" s="5" t="n"/>
    </row>
    <row r="47">
      <c r="A47" s="50" t="n"/>
      <c r="B47" s="4" t="n">
        <v>39</v>
      </c>
      <c r="C47" s="4" t="n"/>
      <c r="D47" s="7" t="n"/>
      <c r="E47" s="15" t="inlineStr">
        <is>
          <t>NA</t>
        </is>
      </c>
      <c r="F47" s="15" t="inlineStr">
        <is>
          <t>NA</t>
        </is>
      </c>
      <c r="G47" s="4" t="n"/>
      <c r="H47" s="4" t="n"/>
      <c r="I47" s="4" t="n"/>
      <c r="J47" s="4" t="n"/>
      <c r="K47" s="9" t="n">
        <v>0</v>
      </c>
      <c r="L47" s="4" t="n"/>
      <c r="M47" s="4" t="n"/>
      <c r="N47" s="4" t="n"/>
      <c r="O47" s="4" t="n"/>
      <c r="P47" s="9" t="n">
        <v>0</v>
      </c>
      <c r="Q47" s="4" t="n"/>
      <c r="R47" s="4" t="n"/>
      <c r="S47" s="4" t="n"/>
      <c r="T47" s="4" t="n"/>
      <c r="U47" s="9" t="n">
        <v>0</v>
      </c>
      <c r="V47" s="4" t="n"/>
      <c r="W47" s="4" t="n"/>
      <c r="X47" s="4" t="n"/>
      <c r="Y47" s="4" t="n"/>
      <c r="Z47" s="9" t="n">
        <v>0</v>
      </c>
      <c r="AA47" s="10">
        <f>AVERAGE(K47,P47,U47,Z47)</f>
        <v/>
      </c>
      <c r="AB47" s="11">
        <f>COUNTIF(G47:Z47,"P")</f>
        <v/>
      </c>
      <c r="AC47" s="12">
        <f>COUNTIF(G47:Z47,"L")</f>
        <v/>
      </c>
      <c r="AD47" s="13">
        <f>COUNTIF(G47:Z47,"A")</f>
        <v/>
      </c>
      <c r="AE47" s="14">
        <f>AB47+AC47</f>
        <v/>
      </c>
      <c r="AF47" s="8">
        <f>AE47/16*10</f>
        <v/>
      </c>
      <c r="AG47" s="8">
        <f>AA47</f>
        <v/>
      </c>
      <c r="AH47" s="8" t="n"/>
      <c r="AI47" s="5" t="n"/>
    </row>
    <row r="48">
      <c r="A48" s="50" t="n"/>
      <c r="B48" s="4" t="n">
        <v>40</v>
      </c>
      <c r="C48" s="4" t="n"/>
      <c r="D48" s="7" t="n"/>
      <c r="E48" s="15" t="inlineStr">
        <is>
          <t>NA</t>
        </is>
      </c>
      <c r="F48" s="15" t="inlineStr">
        <is>
          <t>NA</t>
        </is>
      </c>
      <c r="G48" s="4" t="n"/>
      <c r="H48" s="4" t="n"/>
      <c r="I48" s="4" t="n"/>
      <c r="J48" s="4" t="n"/>
      <c r="K48" s="9" t="n">
        <v>0</v>
      </c>
      <c r="L48" s="4" t="n"/>
      <c r="M48" s="4" t="n"/>
      <c r="N48" s="4" t="n"/>
      <c r="O48" s="4" t="n"/>
      <c r="P48" s="9" t="n">
        <v>0</v>
      </c>
      <c r="Q48" s="4" t="n"/>
      <c r="R48" s="4" t="n"/>
      <c r="S48" s="4" t="n"/>
      <c r="T48" s="4" t="n"/>
      <c r="U48" s="9" t="n">
        <v>0</v>
      </c>
      <c r="V48" s="4" t="n"/>
      <c r="W48" s="4" t="n"/>
      <c r="X48" s="4" t="n"/>
      <c r="Y48" s="4" t="n"/>
      <c r="Z48" s="9" t="n">
        <v>0</v>
      </c>
      <c r="AA48" s="10">
        <f>AVERAGE(K48,P48,U48,Z48)</f>
        <v/>
      </c>
      <c r="AB48" s="11">
        <f>COUNTIF(G48:Z48,"P")</f>
        <v/>
      </c>
      <c r="AC48" s="12">
        <f>COUNTIF(G48:Z48,"L")</f>
        <v/>
      </c>
      <c r="AD48" s="13">
        <f>COUNTIF(G48:Z48,"A")</f>
        <v/>
      </c>
      <c r="AE48" s="14">
        <f>AB48+AC48</f>
        <v/>
      </c>
      <c r="AF48" s="8">
        <f>AE48/16*10</f>
        <v/>
      </c>
      <c r="AG48" s="8">
        <f>AA48</f>
        <v/>
      </c>
      <c r="AH48" s="8" t="n"/>
      <c r="AI48" s="5" t="n"/>
    </row>
    <row r="49">
      <c r="A49" s="50" t="n"/>
      <c r="B49" s="4" t="n">
        <v>41</v>
      </c>
      <c r="C49" s="4" t="n"/>
      <c r="D49" s="7" t="n"/>
      <c r="E49" s="15" t="inlineStr">
        <is>
          <t>NA</t>
        </is>
      </c>
      <c r="F49" s="15" t="inlineStr">
        <is>
          <t>NA</t>
        </is>
      </c>
      <c r="G49" s="4" t="n"/>
      <c r="H49" s="4" t="n"/>
      <c r="I49" s="4" t="n"/>
      <c r="J49" s="4" t="n"/>
      <c r="K49" s="9" t="n">
        <v>0</v>
      </c>
      <c r="L49" s="4" t="n"/>
      <c r="M49" s="4" t="n"/>
      <c r="N49" s="4" t="n"/>
      <c r="O49" s="4" t="n"/>
      <c r="P49" s="9" t="n">
        <v>0</v>
      </c>
      <c r="Q49" s="4" t="n"/>
      <c r="R49" s="4" t="n"/>
      <c r="S49" s="4" t="n"/>
      <c r="T49" s="4" t="n"/>
      <c r="U49" s="9" t="n">
        <v>0</v>
      </c>
      <c r="V49" s="4" t="n"/>
      <c r="W49" s="4" t="n"/>
      <c r="X49" s="4" t="n"/>
      <c r="Y49" s="4" t="n"/>
      <c r="Z49" s="9" t="n">
        <v>0</v>
      </c>
      <c r="AA49" s="10">
        <f>AVERAGE(K49,P49,U49,Z49)</f>
        <v/>
      </c>
      <c r="AB49" s="11">
        <f>COUNTIF(G49:Z49,"P")</f>
        <v/>
      </c>
      <c r="AC49" s="12">
        <f>COUNTIF(G49:Z49,"L")</f>
        <v/>
      </c>
      <c r="AD49" s="13">
        <f>COUNTIF(G49:Z49,"A")</f>
        <v/>
      </c>
      <c r="AE49" s="14">
        <f>AB49+AC49</f>
        <v/>
      </c>
      <c r="AF49" s="8">
        <f>AE49/16*10</f>
        <v/>
      </c>
      <c r="AG49" s="8">
        <f>AA49</f>
        <v/>
      </c>
      <c r="AH49" s="8" t="n"/>
      <c r="AI49" s="5" t="n"/>
    </row>
    <row r="50">
      <c r="A50" s="50" t="n"/>
      <c r="B50" s="4" t="n">
        <v>42</v>
      </c>
      <c r="C50" s="4" t="n"/>
      <c r="D50" s="7" t="n"/>
      <c r="E50" s="15" t="inlineStr">
        <is>
          <t>NA</t>
        </is>
      </c>
      <c r="F50" s="15" t="inlineStr">
        <is>
          <t>NA</t>
        </is>
      </c>
      <c r="G50" s="4" t="n"/>
      <c r="H50" s="4" t="n"/>
      <c r="I50" s="4" t="n"/>
      <c r="J50" s="4" t="n"/>
      <c r="K50" s="9" t="n">
        <v>0</v>
      </c>
      <c r="L50" s="4" t="n"/>
      <c r="M50" s="4" t="n"/>
      <c r="N50" s="4" t="n"/>
      <c r="O50" s="4" t="n"/>
      <c r="P50" s="9" t="n">
        <v>0</v>
      </c>
      <c r="Q50" s="4" t="n"/>
      <c r="R50" s="4" t="n"/>
      <c r="S50" s="4" t="n"/>
      <c r="T50" s="4" t="n"/>
      <c r="U50" s="9" t="n">
        <v>0</v>
      </c>
      <c r="V50" s="4" t="n"/>
      <c r="W50" s="4" t="n"/>
      <c r="X50" s="4" t="n"/>
      <c r="Y50" s="4" t="n"/>
      <c r="Z50" s="9" t="n">
        <v>0</v>
      </c>
      <c r="AA50" s="10">
        <f>AVERAGE(K50,P50,U50,Z50)</f>
        <v/>
      </c>
      <c r="AB50" s="11">
        <f>COUNTIF(G50:Z50,"P")</f>
        <v/>
      </c>
      <c r="AC50" s="12">
        <f>COUNTIF(G50:Z50,"L")</f>
        <v/>
      </c>
      <c r="AD50" s="13">
        <f>COUNTIF(G50:Z50,"A")</f>
        <v/>
      </c>
      <c r="AE50" s="14">
        <f>AB50+AC50</f>
        <v/>
      </c>
      <c r="AF50" s="8">
        <f>AE50/16*10</f>
        <v/>
      </c>
      <c r="AG50" s="8">
        <f>AA50</f>
        <v/>
      </c>
      <c r="AH50" s="8" t="n"/>
      <c r="AI50" s="5" t="n"/>
    </row>
    <row r="51">
      <c r="A51" s="50" t="n"/>
      <c r="B51" s="4" t="n">
        <v>43</v>
      </c>
      <c r="C51" s="4" t="n"/>
      <c r="D51" s="7" t="n"/>
      <c r="E51" s="15" t="inlineStr">
        <is>
          <t>NA</t>
        </is>
      </c>
      <c r="F51" s="15" t="inlineStr">
        <is>
          <t>NA</t>
        </is>
      </c>
      <c r="G51" s="4" t="n"/>
      <c r="H51" s="4" t="n"/>
      <c r="I51" s="4" t="n"/>
      <c r="J51" s="4" t="n"/>
      <c r="K51" s="9" t="n">
        <v>0</v>
      </c>
      <c r="L51" s="4" t="n"/>
      <c r="M51" s="4" t="n"/>
      <c r="N51" s="4" t="n"/>
      <c r="O51" s="4" t="n"/>
      <c r="P51" s="9" t="n">
        <v>0</v>
      </c>
      <c r="Q51" s="4" t="n"/>
      <c r="R51" s="4" t="n"/>
      <c r="S51" s="4" t="n"/>
      <c r="T51" s="4" t="n"/>
      <c r="U51" s="9" t="n">
        <v>0</v>
      </c>
      <c r="V51" s="4" t="n"/>
      <c r="W51" s="4" t="n"/>
      <c r="X51" s="4" t="n"/>
      <c r="Y51" s="4" t="n"/>
      <c r="Z51" s="9" t="n">
        <v>0</v>
      </c>
      <c r="AA51" s="10">
        <f>AVERAGE(K51,P51,U51,Z51)</f>
        <v/>
      </c>
      <c r="AB51" s="11">
        <f>COUNTIF(G51:Z51,"P")</f>
        <v/>
      </c>
      <c r="AC51" s="12">
        <f>COUNTIF(G51:Z51,"L")</f>
        <v/>
      </c>
      <c r="AD51" s="13">
        <f>COUNTIF(G51:Z51,"A")</f>
        <v/>
      </c>
      <c r="AE51" s="14">
        <f>AB51+AC51</f>
        <v/>
      </c>
      <c r="AF51" s="8">
        <f>AE51/16*10</f>
        <v/>
      </c>
      <c r="AG51" s="8">
        <f>AA51</f>
        <v/>
      </c>
      <c r="AH51" s="8" t="n"/>
      <c r="AI51" s="5" t="n"/>
    </row>
    <row r="52">
      <c r="A52" s="50" t="n"/>
      <c r="B52" s="4" t="n">
        <v>44</v>
      </c>
      <c r="C52" s="4" t="n"/>
      <c r="D52" s="7" t="n"/>
      <c r="E52" s="15" t="inlineStr">
        <is>
          <t>NA</t>
        </is>
      </c>
      <c r="F52" s="15" t="inlineStr">
        <is>
          <t>NA</t>
        </is>
      </c>
      <c r="G52" s="4" t="n"/>
      <c r="H52" s="4" t="n"/>
      <c r="I52" s="4" t="n"/>
      <c r="J52" s="4" t="n"/>
      <c r="K52" s="9" t="n">
        <v>0</v>
      </c>
      <c r="L52" s="4" t="n"/>
      <c r="M52" s="4" t="n"/>
      <c r="N52" s="4" t="n"/>
      <c r="O52" s="4" t="n"/>
      <c r="P52" s="9" t="n">
        <v>0</v>
      </c>
      <c r="Q52" s="4" t="n"/>
      <c r="R52" s="4" t="n"/>
      <c r="S52" s="4" t="n"/>
      <c r="T52" s="4" t="n"/>
      <c r="U52" s="9" t="n">
        <v>0</v>
      </c>
      <c r="V52" s="4" t="n"/>
      <c r="W52" s="4" t="n"/>
      <c r="X52" s="4" t="n"/>
      <c r="Y52" s="4" t="n"/>
      <c r="Z52" s="9" t="n">
        <v>0</v>
      </c>
      <c r="AA52" s="10">
        <f>AVERAGE(K52,P52,U52,Z52)</f>
        <v/>
      </c>
      <c r="AB52" s="11">
        <f>COUNTIF(G52:Z52,"P")</f>
        <v/>
      </c>
      <c r="AC52" s="12">
        <f>COUNTIF(G52:Z52,"L")</f>
        <v/>
      </c>
      <c r="AD52" s="13">
        <f>COUNTIF(G52:Z52,"A")</f>
        <v/>
      </c>
      <c r="AE52" s="14">
        <f>AB52+AC52</f>
        <v/>
      </c>
      <c r="AF52" s="8">
        <f>AE52/16*10</f>
        <v/>
      </c>
      <c r="AG52" s="8">
        <f>AA52</f>
        <v/>
      </c>
      <c r="AH52" s="8" t="n"/>
      <c r="AI52" s="5" t="n"/>
    </row>
    <row r="53">
      <c r="A53" s="50" t="n"/>
      <c r="B53" s="4" t="n">
        <v>45</v>
      </c>
      <c r="C53" s="4" t="n"/>
      <c r="D53" s="7" t="n"/>
      <c r="E53" s="15" t="inlineStr">
        <is>
          <t>NA</t>
        </is>
      </c>
      <c r="F53" s="15" t="inlineStr">
        <is>
          <t>NA</t>
        </is>
      </c>
      <c r="G53" s="4" t="n"/>
      <c r="H53" s="4" t="n"/>
      <c r="I53" s="4" t="n"/>
      <c r="J53" s="4" t="n"/>
      <c r="K53" s="9" t="n">
        <v>0</v>
      </c>
      <c r="L53" s="4" t="n"/>
      <c r="M53" s="4" t="n"/>
      <c r="N53" s="4" t="n"/>
      <c r="O53" s="4" t="n"/>
      <c r="P53" s="9" t="n">
        <v>0</v>
      </c>
      <c r="Q53" s="4" t="n"/>
      <c r="R53" s="4" t="n"/>
      <c r="S53" s="4" t="n"/>
      <c r="T53" s="4" t="n"/>
      <c r="U53" s="9" t="n">
        <v>0</v>
      </c>
      <c r="V53" s="4" t="n"/>
      <c r="W53" s="4" t="n"/>
      <c r="X53" s="4" t="n"/>
      <c r="Y53" s="4" t="n"/>
      <c r="Z53" s="9" t="n">
        <v>0</v>
      </c>
      <c r="AA53" s="10">
        <f>AVERAGE(K53,P53,U53,Z53)</f>
        <v/>
      </c>
      <c r="AB53" s="11">
        <f>COUNTIF(G53:Z53,"P")</f>
        <v/>
      </c>
      <c r="AC53" s="12">
        <f>COUNTIF(G53:Z53,"L")</f>
        <v/>
      </c>
      <c r="AD53" s="13">
        <f>COUNTIF(G53:Z53,"A")</f>
        <v/>
      </c>
      <c r="AE53" s="14">
        <f>AB53+AC53</f>
        <v/>
      </c>
      <c r="AF53" s="8">
        <f>AE53/16*10</f>
        <v/>
      </c>
      <c r="AG53" s="8">
        <f>AA53</f>
        <v/>
      </c>
      <c r="AH53" s="8" t="n"/>
      <c r="AI53" s="5" t="n"/>
    </row>
    <row r="54">
      <c r="A54" s="50" t="n"/>
      <c r="B54" s="4" t="n">
        <v>46</v>
      </c>
      <c r="C54" s="4" t="n"/>
      <c r="D54" s="7" t="n"/>
      <c r="E54" s="15" t="inlineStr">
        <is>
          <t>NA</t>
        </is>
      </c>
      <c r="F54" s="15" t="inlineStr">
        <is>
          <t>NA</t>
        </is>
      </c>
      <c r="G54" s="4" t="n"/>
      <c r="H54" s="4" t="n"/>
      <c r="I54" s="4" t="n"/>
      <c r="J54" s="4" t="n"/>
      <c r="K54" s="9" t="n">
        <v>0</v>
      </c>
      <c r="L54" s="4" t="n"/>
      <c r="M54" s="4" t="n"/>
      <c r="N54" s="4" t="n"/>
      <c r="O54" s="4" t="n"/>
      <c r="P54" s="9" t="n">
        <v>0</v>
      </c>
      <c r="Q54" s="4" t="n"/>
      <c r="R54" s="4" t="n"/>
      <c r="S54" s="4" t="n"/>
      <c r="T54" s="4" t="n"/>
      <c r="U54" s="9" t="n">
        <v>0</v>
      </c>
      <c r="V54" s="4" t="n"/>
      <c r="W54" s="4" t="n"/>
      <c r="X54" s="4" t="n"/>
      <c r="Y54" s="4" t="n"/>
      <c r="Z54" s="9" t="n">
        <v>0</v>
      </c>
      <c r="AA54" s="10">
        <f>AVERAGE(K54,P54,U54,Z54)</f>
        <v/>
      </c>
      <c r="AB54" s="11">
        <f>COUNTIF(G54:Z54,"P")</f>
        <v/>
      </c>
      <c r="AC54" s="12">
        <f>COUNTIF(G54:Z54,"L")</f>
        <v/>
      </c>
      <c r="AD54" s="13">
        <f>COUNTIF(G54:Z54,"A")</f>
        <v/>
      </c>
      <c r="AE54" s="14">
        <f>AB54+AC54</f>
        <v/>
      </c>
      <c r="AF54" s="8">
        <f>AE54/16*10</f>
        <v/>
      </c>
      <c r="AG54" s="8">
        <f>AA54</f>
        <v/>
      </c>
      <c r="AH54" s="8" t="n"/>
      <c r="AI54" s="5" t="n"/>
    </row>
    <row r="55">
      <c r="A55" s="50" t="n"/>
      <c r="B55" s="4" t="n">
        <v>47</v>
      </c>
      <c r="C55" s="4" t="n"/>
      <c r="D55" s="7" t="n"/>
      <c r="E55" s="15" t="inlineStr">
        <is>
          <t>NA</t>
        </is>
      </c>
      <c r="F55" s="15" t="inlineStr">
        <is>
          <t>NA</t>
        </is>
      </c>
      <c r="G55" s="4" t="n"/>
      <c r="H55" s="4" t="n"/>
      <c r="I55" s="4" t="n"/>
      <c r="J55" s="4" t="n"/>
      <c r="K55" s="9" t="n">
        <v>0</v>
      </c>
      <c r="L55" s="4" t="n"/>
      <c r="M55" s="4" t="n"/>
      <c r="N55" s="4" t="n"/>
      <c r="O55" s="4" t="n"/>
      <c r="P55" s="9" t="n">
        <v>0</v>
      </c>
      <c r="Q55" s="4" t="n"/>
      <c r="R55" s="4" t="n"/>
      <c r="S55" s="4" t="n"/>
      <c r="T55" s="4" t="n"/>
      <c r="U55" s="9" t="n">
        <v>0</v>
      </c>
      <c r="V55" s="4" t="n"/>
      <c r="W55" s="4" t="n"/>
      <c r="X55" s="4" t="n"/>
      <c r="Y55" s="4" t="n"/>
      <c r="Z55" s="9" t="n">
        <v>0</v>
      </c>
      <c r="AA55" s="10">
        <f>AVERAGE(K55,P55,U55,Z55)</f>
        <v/>
      </c>
      <c r="AB55" s="11">
        <f>COUNTIF(G55:Z55,"P")</f>
        <v/>
      </c>
      <c r="AC55" s="12">
        <f>COUNTIF(G55:Z55,"L")</f>
        <v/>
      </c>
      <c r="AD55" s="13">
        <f>COUNTIF(G55:Z55,"A")</f>
        <v/>
      </c>
      <c r="AE55" s="14">
        <f>AB55+AC55</f>
        <v/>
      </c>
      <c r="AF55" s="8">
        <f>AE55/16*10</f>
        <v/>
      </c>
      <c r="AG55" s="8">
        <f>AA55</f>
        <v/>
      </c>
      <c r="AH55" s="8" t="n"/>
      <c r="AI55" s="5" t="n"/>
    </row>
    <row r="56">
      <c r="A56" s="50" t="n"/>
      <c r="B56" s="4" t="n">
        <v>48</v>
      </c>
      <c r="C56" s="4" t="n"/>
      <c r="D56" s="7" t="n"/>
      <c r="E56" s="15" t="inlineStr">
        <is>
          <t>NA</t>
        </is>
      </c>
      <c r="F56" s="15" t="inlineStr">
        <is>
          <t>NA</t>
        </is>
      </c>
      <c r="G56" s="4" t="n"/>
      <c r="H56" s="4" t="n"/>
      <c r="I56" s="4" t="n"/>
      <c r="J56" s="4" t="n"/>
      <c r="K56" s="9" t="n">
        <v>0</v>
      </c>
      <c r="L56" s="4" t="n"/>
      <c r="M56" s="4" t="n"/>
      <c r="N56" s="4" t="n"/>
      <c r="O56" s="4" t="n"/>
      <c r="P56" s="9" t="n">
        <v>0</v>
      </c>
      <c r="Q56" s="4" t="n"/>
      <c r="R56" s="4" t="n"/>
      <c r="S56" s="4" t="n"/>
      <c r="T56" s="4" t="n"/>
      <c r="U56" s="9" t="n">
        <v>0</v>
      </c>
      <c r="V56" s="4" t="n"/>
      <c r="W56" s="4" t="n"/>
      <c r="X56" s="4" t="n"/>
      <c r="Y56" s="4" t="n"/>
      <c r="Z56" s="9" t="n">
        <v>0</v>
      </c>
      <c r="AA56" s="10">
        <f>AVERAGE(K56,P56,U56,Z56)</f>
        <v/>
      </c>
      <c r="AB56" s="11">
        <f>COUNTIF(G56:Z56,"P")</f>
        <v/>
      </c>
      <c r="AC56" s="12">
        <f>COUNTIF(G56:Z56,"L")</f>
        <v/>
      </c>
      <c r="AD56" s="13">
        <f>COUNTIF(G56:Z56,"A")</f>
        <v/>
      </c>
      <c r="AE56" s="14">
        <f>AB56+AC56</f>
        <v/>
      </c>
      <c r="AF56" s="8">
        <f>AE56/16*10</f>
        <v/>
      </c>
      <c r="AG56" s="8">
        <f>AA56</f>
        <v/>
      </c>
      <c r="AH56" s="8" t="n"/>
      <c r="AI56" s="5" t="n"/>
    </row>
    <row r="57">
      <c r="A57" s="50" t="n"/>
      <c r="B57" s="4" t="n">
        <v>49</v>
      </c>
      <c r="C57" s="4" t="n"/>
      <c r="D57" s="7" t="n"/>
      <c r="E57" s="15" t="inlineStr">
        <is>
          <t>NA</t>
        </is>
      </c>
      <c r="F57" s="15" t="inlineStr">
        <is>
          <t>NA</t>
        </is>
      </c>
      <c r="G57" s="4" t="n"/>
      <c r="H57" s="4" t="n"/>
      <c r="I57" s="4" t="n"/>
      <c r="J57" s="4" t="n"/>
      <c r="K57" s="9" t="n">
        <v>0</v>
      </c>
      <c r="L57" s="4" t="n"/>
      <c r="M57" s="4" t="n"/>
      <c r="N57" s="4" t="n"/>
      <c r="O57" s="4" t="n"/>
      <c r="P57" s="9" t="n">
        <v>0</v>
      </c>
      <c r="Q57" s="4" t="n"/>
      <c r="R57" s="4" t="n"/>
      <c r="S57" s="4" t="n"/>
      <c r="T57" s="4" t="n"/>
      <c r="U57" s="9" t="n">
        <v>0</v>
      </c>
      <c r="V57" s="4" t="n"/>
      <c r="W57" s="4" t="n"/>
      <c r="X57" s="4" t="n"/>
      <c r="Y57" s="4" t="n"/>
      <c r="Z57" s="9" t="n">
        <v>0</v>
      </c>
      <c r="AA57" s="10">
        <f>AVERAGE(K57,P57,U57,Z57)</f>
        <v/>
      </c>
      <c r="AB57" s="11">
        <f>COUNTIF(G57:Z57,"P")</f>
        <v/>
      </c>
      <c r="AC57" s="12">
        <f>COUNTIF(G57:Z57,"L")</f>
        <v/>
      </c>
      <c r="AD57" s="13">
        <f>COUNTIF(G57:Z57,"A")</f>
        <v/>
      </c>
      <c r="AE57" s="14">
        <f>AB57+AC57</f>
        <v/>
      </c>
      <c r="AF57" s="8">
        <f>AE57/16*10</f>
        <v/>
      </c>
      <c r="AG57" s="8">
        <f>AA57</f>
        <v/>
      </c>
      <c r="AH57" s="8" t="n"/>
      <c r="AI57" s="5" t="n"/>
    </row>
    <row r="58">
      <c r="A58" s="50" t="n"/>
      <c r="B58" s="4" t="n">
        <v>50</v>
      </c>
      <c r="C58" s="4" t="n"/>
      <c r="D58" s="7" t="n"/>
      <c r="E58" s="15" t="inlineStr">
        <is>
          <t>NA</t>
        </is>
      </c>
      <c r="F58" s="15" t="inlineStr">
        <is>
          <t>NA</t>
        </is>
      </c>
      <c r="G58" s="4" t="n"/>
      <c r="H58" s="4" t="n"/>
      <c r="I58" s="4" t="n"/>
      <c r="J58" s="4" t="n"/>
      <c r="K58" s="9" t="n">
        <v>0</v>
      </c>
      <c r="L58" s="4" t="n"/>
      <c r="M58" s="4" t="n"/>
      <c r="N58" s="4" t="n"/>
      <c r="O58" s="4" t="n"/>
      <c r="P58" s="9" t="n">
        <v>0</v>
      </c>
      <c r="Q58" s="4" t="n"/>
      <c r="R58" s="4" t="n"/>
      <c r="S58" s="4" t="n"/>
      <c r="T58" s="4" t="n"/>
      <c r="U58" s="9" t="n">
        <v>0</v>
      </c>
      <c r="V58" s="4" t="n"/>
      <c r="W58" s="4" t="n"/>
      <c r="X58" s="4" t="n"/>
      <c r="Y58" s="4" t="n"/>
      <c r="Z58" s="9" t="n">
        <v>0</v>
      </c>
      <c r="AA58" s="10">
        <f>AVERAGE(K58,P58,U58,Z58)</f>
        <v/>
      </c>
      <c r="AB58" s="11">
        <f>COUNTIF(G58:Z58,"P")</f>
        <v/>
      </c>
      <c r="AC58" s="12">
        <f>COUNTIF(G58:Z58,"L")</f>
        <v/>
      </c>
      <c r="AD58" s="13">
        <f>COUNTIF(G58:Z58,"A")</f>
        <v/>
      </c>
      <c r="AE58" s="14">
        <f>AB58+AC58</f>
        <v/>
      </c>
      <c r="AF58" s="8">
        <f>AE58/16*10</f>
        <v/>
      </c>
      <c r="AG58" s="8">
        <f>AA58</f>
        <v/>
      </c>
      <c r="AH58" s="8" t="n"/>
      <c r="AI58" s="5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  <c r="AH59" s="50" t="n"/>
      <c r="AI59" s="50" t="n"/>
    </row>
  </sheetData>
  <mergeCells count="23">
    <mergeCell ref="Q7:R7"/>
    <mergeCell ref="L7:M7"/>
    <mergeCell ref="N7:O7"/>
    <mergeCell ref="A3:C3"/>
    <mergeCell ref="V8:W8"/>
    <mergeCell ref="G8:H8"/>
    <mergeCell ref="X8:Y8"/>
    <mergeCell ref="E8:F8"/>
    <mergeCell ref="A2:C2"/>
    <mergeCell ref="Q8:R8"/>
    <mergeCell ref="S8:T8"/>
    <mergeCell ref="X7:Y7"/>
    <mergeCell ref="A5:C5"/>
    <mergeCell ref="G7:H7"/>
    <mergeCell ref="S7:T7"/>
    <mergeCell ref="I7:J7"/>
    <mergeCell ref="A4:C4"/>
    <mergeCell ref="L8:M8"/>
    <mergeCell ref="N8:O8"/>
    <mergeCell ref="I8:J8"/>
    <mergeCell ref="V7:W7"/>
    <mergeCell ref="E7:F7"/>
    <mergeCell ref="A6:C6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tabColor rgb="FF92D050"/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ColWidth="9.140625" defaultRowHeight="15"/>
  <cols>
    <col width="3.7109375" customWidth="1" style="1" min="1" max="1"/>
    <col width="4.85546875" customWidth="1" style="2" min="2" max="2"/>
    <col width="9.42578125" customWidth="1" style="2" min="3" max="3"/>
    <col width="22" customWidth="1" style="1" min="4" max="5"/>
    <col width="16" bestFit="1" customWidth="1" style="1" min="6" max="6"/>
    <col width="22.42578125" customWidth="1" style="1" min="7" max="7"/>
    <col width="21" bestFit="1" customWidth="1" style="1" min="8" max="8"/>
    <col width="9.140625" customWidth="1" style="1" min="9" max="16384"/>
  </cols>
  <sheetData>
    <row r="1" ht="21.75" customHeight="1">
      <c r="A1" s="26" t="n"/>
      <c r="B1" s="53" t="n"/>
      <c r="C1" s="93" t="inlineStr">
        <is>
          <t>Section:</t>
        </is>
      </c>
      <c r="D1" s="55" t="inlineStr">
        <is>
          <t>4F</t>
        </is>
      </c>
      <c r="E1" s="58" t="inlineStr">
        <is>
          <t>Marks Recording Sheet</t>
        </is>
      </c>
      <c r="F1" s="32" t="n"/>
      <c r="G1" s="32" t="n"/>
      <c r="H1" s="26" t="n"/>
      <c r="I1" s="26" t="n"/>
    </row>
    <row r="2" ht="20.25" customHeight="1">
      <c r="A2" s="93" t="inlineStr">
        <is>
          <t>Teacher Name:</t>
        </is>
      </c>
      <c r="B2" s="94" t="n"/>
      <c r="C2" s="95" t="n"/>
      <c r="D2" s="55">
        <f>'G4- Attendance'!D2</f>
        <v/>
      </c>
      <c r="E2" s="35">
        <f>'G4- Attendance'!E2</f>
        <v/>
      </c>
      <c r="F2" s="26" t="n"/>
      <c r="G2" s="49" t="n"/>
      <c r="H2" s="26" t="n"/>
      <c r="I2" s="26" t="n"/>
    </row>
    <row r="3" ht="21" customHeight="1">
      <c r="A3" s="93" t="inlineStr">
        <is>
          <t>School ID:</t>
        </is>
      </c>
      <c r="B3" s="94" t="n"/>
      <c r="C3" s="95" t="n"/>
      <c r="D3" s="56">
        <f>'G4- Attendance'!D3</f>
        <v/>
      </c>
      <c r="E3" s="59">
        <f>'G4- Attendance'!E3</f>
        <v/>
      </c>
      <c r="F3" s="26" t="n"/>
      <c r="G3" s="26" t="n"/>
      <c r="H3" s="26" t="n"/>
      <c r="I3" s="26" t="n"/>
    </row>
    <row r="4" ht="23.25" customFormat="1" customHeight="1" s="23">
      <c r="A4" s="93" t="inlineStr">
        <is>
          <t>School Name:</t>
        </is>
      </c>
      <c r="B4" s="94" t="n"/>
      <c r="C4" s="95" t="n"/>
      <c r="D4" s="56">
        <f>'G4- Attendance'!D4</f>
        <v/>
      </c>
      <c r="E4" s="59">
        <f>'G4- Attendance'!E4</f>
        <v/>
      </c>
      <c r="F4" s="60" t="n"/>
      <c r="G4" s="60" t="n"/>
      <c r="H4" s="61" t="n"/>
      <c r="I4" s="61" t="n"/>
    </row>
    <row r="5" ht="18" customHeight="1">
      <c r="A5" s="93" t="inlineStr">
        <is>
          <t>Emirate/Area:</t>
        </is>
      </c>
      <c r="B5" s="94" t="n"/>
      <c r="C5" s="95" t="n"/>
      <c r="D5" s="56">
        <f>'G4- Attendance'!D5</f>
        <v/>
      </c>
      <c r="E5" s="62" t="n"/>
      <c r="F5" s="62" t="n"/>
      <c r="G5" s="62" t="n"/>
      <c r="H5" s="26" t="n"/>
      <c r="I5" s="26" t="n"/>
    </row>
    <row r="6" ht="41.25" customHeight="1">
      <c r="A6" s="93" t="inlineStr">
        <is>
          <t>Council:</t>
        </is>
      </c>
      <c r="B6" s="94" t="n"/>
      <c r="C6" s="95" t="n"/>
      <c r="D6" s="57">
        <f>'G4- Attendance'!D6</f>
        <v/>
      </c>
      <c r="E6" s="49" t="n"/>
      <c r="F6" s="63" t="n"/>
      <c r="G6" s="64" t="n"/>
      <c r="H6" s="64" t="n"/>
      <c r="I6" s="26" t="n"/>
    </row>
    <row r="7" ht="28.5" customHeight="1">
      <c r="A7" s="32" t="n"/>
      <c r="B7" s="27" t="n"/>
      <c r="C7" s="48" t="n"/>
      <c r="D7" s="49" t="n"/>
      <c r="E7" s="75" t="inlineStr">
        <is>
          <t>School-based Assessment (SB1)</t>
        </is>
      </c>
      <c r="F7" s="80" t="inlineStr">
        <is>
          <t>Attendance/
Effort</t>
        </is>
      </c>
      <c r="G7" s="76" t="inlineStr">
        <is>
          <t>School-based Total</t>
        </is>
      </c>
      <c r="H7" s="77" t="inlineStr">
        <is>
          <t>End of Term Total</t>
        </is>
      </c>
      <c r="I7" s="26" t="n"/>
      <c r="K7" s="3" t="n"/>
    </row>
    <row r="8" ht="15.75" customHeight="1">
      <c r="A8" s="26" t="n"/>
      <c r="B8" s="51" t="inlineStr">
        <is>
          <t>No</t>
        </is>
      </c>
      <c r="C8" s="51" t="inlineStr">
        <is>
          <t>Student #</t>
        </is>
      </c>
      <c r="D8" s="78" t="inlineStr">
        <is>
          <t>Student Name</t>
        </is>
      </c>
      <c r="E8" s="19" t="inlineStr">
        <is>
          <t>80 marks</t>
        </is>
      </c>
      <c r="F8" s="18" t="inlineStr">
        <is>
          <t>20 marks</t>
        </is>
      </c>
      <c r="G8" s="17" t="inlineStr">
        <is>
          <t>100 marks</t>
        </is>
      </c>
      <c r="H8" s="77" t="inlineStr">
        <is>
          <t>100 marks</t>
        </is>
      </c>
      <c r="I8" s="26" t="n"/>
    </row>
    <row r="9">
      <c r="A9" s="50" t="n"/>
      <c r="B9" s="22" t="n">
        <v>1</v>
      </c>
      <c r="C9" s="22" t="n">
        <v>1</v>
      </c>
      <c r="D9" s="25" t="inlineStr">
        <is>
          <t>احمد محمد احمد عوض المهيري</t>
        </is>
      </c>
      <c r="E9" s="6" t="n">
        <v>80</v>
      </c>
      <c r="F9" s="8" t="n">
        <v>19</v>
      </c>
      <c r="G9" s="16" t="n">
        <v>99</v>
      </c>
      <c r="H9" s="79" t="n">
        <v>99</v>
      </c>
      <c r="I9" s="26" t="n"/>
    </row>
    <row r="10">
      <c r="A10" s="50" t="n"/>
      <c r="B10" s="22" t="n">
        <v>2</v>
      </c>
      <c r="C10" s="22" t="n">
        <v>2</v>
      </c>
      <c r="D10" s="25" t="inlineStr">
        <is>
          <t>الدماني منصور عجيل الشين الجحافي</t>
        </is>
      </c>
      <c r="E10" s="6" t="n">
        <v>80</v>
      </c>
      <c r="F10" s="8" t="n">
        <v>19</v>
      </c>
      <c r="G10" s="16" t="n">
        <v>99</v>
      </c>
      <c r="H10" s="79" t="n">
        <v>77</v>
      </c>
      <c r="I10" s="26" t="n"/>
    </row>
    <row r="11">
      <c r="A11" s="50" t="n"/>
      <c r="B11" s="22" t="n">
        <v>3</v>
      </c>
      <c r="C11" s="22" t="n">
        <v>3</v>
      </c>
      <c r="D11" s="25" t="inlineStr">
        <is>
          <t>اميمه حسن حسين غلام</t>
        </is>
      </c>
      <c r="E11" s="6" t="n">
        <v>68</v>
      </c>
      <c r="F11" s="8" t="n">
        <v>19</v>
      </c>
      <c r="G11" s="16" t="n">
        <v>87</v>
      </c>
      <c r="H11" s="79" t="n">
        <v>55</v>
      </c>
      <c r="I11" s="26" t="n"/>
    </row>
    <row r="12">
      <c r="A12" s="50" t="n"/>
      <c r="B12" s="22" t="n">
        <v>4</v>
      </c>
      <c r="C12" s="22" t="n">
        <v>4</v>
      </c>
      <c r="D12" s="25" t="inlineStr">
        <is>
          <t>بسملة خمليش</t>
        </is>
      </c>
      <c r="E12" s="6" t="n">
        <v>80</v>
      </c>
      <c r="F12" s="8" t="n">
        <v>20</v>
      </c>
      <c r="G12" s="16" t="n">
        <v>100</v>
      </c>
      <c r="H12" s="79" t="n">
        <v>78</v>
      </c>
      <c r="I12" s="26" t="n"/>
    </row>
    <row r="13">
      <c r="A13" s="50" t="n"/>
      <c r="B13" s="22" t="n">
        <v>5</v>
      </c>
      <c r="C13" s="22" t="n">
        <v>5</v>
      </c>
      <c r="D13" s="25" t="inlineStr">
        <is>
          <t>جود ابراهيم حاضر المجيحيم الشمري</t>
        </is>
      </c>
      <c r="E13" s="6" t="n">
        <v>80</v>
      </c>
      <c r="F13" s="8" t="n">
        <v>19</v>
      </c>
      <c r="G13" s="16" t="n">
        <v>99</v>
      </c>
      <c r="H13" s="79" t="n">
        <v>79</v>
      </c>
      <c r="I13" s="26" t="n"/>
    </row>
    <row r="14">
      <c r="A14" s="50" t="n"/>
      <c r="B14" s="22" t="n">
        <v>6</v>
      </c>
      <c r="C14" s="22" t="n">
        <v>6</v>
      </c>
      <c r="D14" s="25" t="inlineStr">
        <is>
          <t>حامد عايض مفرح علي الاحبابي</t>
        </is>
      </c>
      <c r="E14" s="6" t="n">
        <v>80</v>
      </c>
      <c r="F14" s="8" t="n">
        <v>19</v>
      </c>
      <c r="G14" s="16" t="n">
        <v>99</v>
      </c>
      <c r="H14" s="79" t="n">
        <v>78</v>
      </c>
      <c r="I14" s="26" t="n"/>
    </row>
    <row r="15">
      <c r="A15" s="50" t="n"/>
      <c r="B15" s="22" t="n">
        <v>7</v>
      </c>
      <c r="C15" s="22" t="n">
        <v>7</v>
      </c>
      <c r="D15" s="25" t="inlineStr">
        <is>
          <t>حصه بنت محمد بن راشد بن سليم الزرعية</t>
        </is>
      </c>
      <c r="E15" s="6" t="n">
        <v>80</v>
      </c>
      <c r="F15" s="8" t="n">
        <v>18</v>
      </c>
      <c r="G15" s="16" t="n">
        <v>98</v>
      </c>
      <c r="H15" s="79" t="n">
        <v>86</v>
      </c>
      <c r="I15" s="26" t="n"/>
    </row>
    <row r="16">
      <c r="A16" s="50" t="n"/>
      <c r="B16" s="22" t="n">
        <v>8</v>
      </c>
      <c r="C16" s="22" t="n">
        <v>8</v>
      </c>
      <c r="D16" s="25" t="inlineStr">
        <is>
          <t>حصه عوض عامر محمد الغيثي</t>
        </is>
      </c>
      <c r="E16" s="6" t="n">
        <v>66</v>
      </c>
      <c r="F16" s="8" t="n">
        <v>19</v>
      </c>
      <c r="G16" s="16" t="n">
        <v>85</v>
      </c>
      <c r="H16" s="79" t="n">
        <v>86</v>
      </c>
      <c r="I16" s="26" t="n"/>
    </row>
    <row r="17">
      <c r="A17" s="50" t="n"/>
      <c r="B17" s="22" t="n">
        <v>9</v>
      </c>
      <c r="C17" s="22" t="n">
        <v>9</v>
      </c>
      <c r="D17" s="25" t="inlineStr">
        <is>
          <t>حمد احمد محمد يوسف الحمادي</t>
        </is>
      </c>
      <c r="E17" s="6" t="n">
        <v>69</v>
      </c>
      <c r="F17" s="8" t="n">
        <v>19</v>
      </c>
      <c r="G17" s="16" t="n">
        <v>88</v>
      </c>
      <c r="H17" s="79" t="n">
        <v>82</v>
      </c>
      <c r="I17" s="26" t="n"/>
    </row>
    <row r="18">
      <c r="A18" s="50" t="n"/>
      <c r="B18" s="22" t="n">
        <v>10</v>
      </c>
      <c r="C18" s="22" t="n">
        <v>10</v>
      </c>
      <c r="D18" s="25" t="inlineStr">
        <is>
          <t>حمدان محمد جمعه محمد البلوشى</t>
        </is>
      </c>
      <c r="E18" s="6" t="n">
        <v>80</v>
      </c>
      <c r="F18" s="8" t="n">
        <v>20</v>
      </c>
      <c r="G18" s="16" t="n">
        <v>100</v>
      </c>
      <c r="H18" s="79" t="n">
        <v>98</v>
      </c>
      <c r="I18" s="26" t="n"/>
    </row>
    <row r="19">
      <c r="A19" s="50" t="n"/>
      <c r="B19" s="22" t="n">
        <v>11</v>
      </c>
      <c r="C19" s="22" t="n">
        <v>11</v>
      </c>
      <c r="D19" s="25" t="inlineStr">
        <is>
          <t>حمدان محمد سعيد سالمين بن اسحاق</t>
        </is>
      </c>
      <c r="E19" s="6" t="n">
        <v>80</v>
      </c>
      <c r="F19" s="8" t="n">
        <v>18</v>
      </c>
      <c r="G19" s="16" t="n">
        <v>98</v>
      </c>
      <c r="H19" s="79" t="n">
        <v>85</v>
      </c>
      <c r="I19" s="26" t="n"/>
    </row>
    <row r="20">
      <c r="A20" s="50" t="n"/>
      <c r="B20" s="22" t="n">
        <v>12</v>
      </c>
      <c r="C20" s="22" t="n">
        <v>12</v>
      </c>
      <c r="D20" s="25" t="inlineStr">
        <is>
          <t>حمدان نايف محمد سالم الكعبي</t>
        </is>
      </c>
      <c r="E20" s="6" t="n">
        <v>80</v>
      </c>
      <c r="F20" s="8" t="n">
        <v>19</v>
      </c>
      <c r="G20" s="16" t="n">
        <v>99</v>
      </c>
      <c r="H20" s="79" t="n">
        <v>76</v>
      </c>
      <c r="I20" s="26" t="n"/>
    </row>
    <row r="21">
      <c r="A21" s="50" t="n"/>
      <c r="B21" s="22" t="n">
        <v>13</v>
      </c>
      <c r="C21" s="22" t="n">
        <v>13</v>
      </c>
      <c r="D21" s="25" t="inlineStr">
        <is>
          <t>خالد محمد جمعه محمد البلوشى</t>
        </is>
      </c>
      <c r="E21" s="6" t="n">
        <v>80</v>
      </c>
      <c r="F21" s="8" t="n">
        <v>19</v>
      </c>
      <c r="G21" s="16" t="n">
        <v>99</v>
      </c>
      <c r="H21" s="79" t="n">
        <v>99</v>
      </c>
      <c r="I21" s="26" t="n"/>
    </row>
    <row r="22">
      <c r="A22" s="50" t="n"/>
      <c r="B22" s="22" t="n">
        <v>14</v>
      </c>
      <c r="C22" s="22" t="n">
        <v>14</v>
      </c>
      <c r="D22" s="25" t="inlineStr">
        <is>
          <t>روضة علي يسلم عوض الصيعري</t>
        </is>
      </c>
      <c r="E22" s="6" t="n">
        <v>80</v>
      </c>
      <c r="F22" s="8" t="n">
        <v>20</v>
      </c>
      <c r="G22" s="16" t="n">
        <v>100</v>
      </c>
      <c r="H22" s="79" t="n">
        <v>76</v>
      </c>
      <c r="I22" s="26" t="n"/>
    </row>
    <row r="23">
      <c r="A23" s="50" t="n"/>
      <c r="B23" s="22" t="n">
        <v>15</v>
      </c>
      <c r="C23" s="22" t="n">
        <v>15</v>
      </c>
      <c r="D23" s="25" t="inlineStr">
        <is>
          <t>شمسه ناصر حميد سعيد البلوشي</t>
        </is>
      </c>
      <c r="E23" s="6" t="n">
        <v>80</v>
      </c>
      <c r="F23" s="8" t="n">
        <v>19</v>
      </c>
      <c r="G23" s="16" t="n">
        <v>99</v>
      </c>
      <c r="H23" s="79" t="n">
        <v>75</v>
      </c>
      <c r="I23" s="26" t="n"/>
    </row>
    <row r="24">
      <c r="A24" s="50" t="n"/>
      <c r="B24" s="22" t="n">
        <v>16</v>
      </c>
      <c r="C24" s="22" t="n">
        <v>16</v>
      </c>
      <c r="D24" s="25" t="inlineStr">
        <is>
          <t>شيخه حميد الرميلي سعيد الجنيبي</t>
        </is>
      </c>
      <c r="E24" s="6" t="n">
        <v>80</v>
      </c>
      <c r="F24" s="8" t="n">
        <v>18</v>
      </c>
      <c r="G24" s="16" t="n">
        <v>98</v>
      </c>
      <c r="H24" s="79" t="n">
        <v>88</v>
      </c>
      <c r="I24" s="26" t="n"/>
    </row>
    <row r="25">
      <c r="A25" s="50" t="n"/>
      <c r="B25" s="22" t="n">
        <v>17</v>
      </c>
      <c r="C25" s="22" t="n">
        <v>17</v>
      </c>
      <c r="D25" s="25" t="inlineStr">
        <is>
          <t>عائشه منصور محمد احمد الحضرمى</t>
        </is>
      </c>
      <c r="E25" s="6" t="n">
        <v>80</v>
      </c>
      <c r="F25" s="8" t="n">
        <v>18</v>
      </c>
      <c r="G25" s="16" t="n">
        <v>98</v>
      </c>
      <c r="H25" s="79" t="n">
        <v>88</v>
      </c>
      <c r="I25" s="26" t="n"/>
    </row>
    <row r="26">
      <c r="A26" s="50" t="n"/>
      <c r="B26" s="22" t="n">
        <v>18</v>
      </c>
      <c r="C26" s="22" t="n">
        <v>18</v>
      </c>
      <c r="D26" s="25" t="inlineStr">
        <is>
          <t>عبدالله نوح قاسم جان محمد البلوشى</t>
        </is>
      </c>
      <c r="E26" s="6" t="n">
        <v>80</v>
      </c>
      <c r="F26" s="8" t="n">
        <v>18</v>
      </c>
      <c r="G26" s="16" t="n">
        <v>98</v>
      </c>
      <c r="H26" s="79" t="n">
        <v>77</v>
      </c>
      <c r="I26" s="26" t="n"/>
    </row>
    <row r="27">
      <c r="A27" s="50" t="n"/>
      <c r="B27" s="22" t="n">
        <v>19</v>
      </c>
      <c r="C27" s="22" t="n">
        <v>19</v>
      </c>
      <c r="D27" s="25" t="inlineStr">
        <is>
          <t>غزيل سالم خميس حمد العامري</t>
        </is>
      </c>
      <c r="E27" s="6" t="n">
        <v>55</v>
      </c>
      <c r="F27" s="8" t="n">
        <v>20</v>
      </c>
      <c r="G27" s="16" t="n">
        <v>75</v>
      </c>
      <c r="H27" s="79" t="n">
        <v>88</v>
      </c>
      <c r="I27" s="26" t="n"/>
    </row>
    <row r="28">
      <c r="A28" s="50" t="n"/>
      <c r="B28" s="22" t="n">
        <v>20</v>
      </c>
      <c r="C28" s="22" t="n">
        <v>20</v>
      </c>
      <c r="D28" s="25" t="inlineStr">
        <is>
          <t>فاطمه ابراهيم حسن احمد البلوشي</t>
        </is>
      </c>
      <c r="E28" s="6" t="n">
        <v>80</v>
      </c>
      <c r="F28" s="8" t="n">
        <v>18</v>
      </c>
      <c r="G28" s="16" t="n">
        <v>98</v>
      </c>
      <c r="H28" s="79" t="n">
        <v>75</v>
      </c>
      <c r="I28" s="26" t="n"/>
    </row>
    <row r="29">
      <c r="A29" s="50" t="n"/>
      <c r="B29" s="22" t="n">
        <v>21</v>
      </c>
      <c r="C29" s="22" t="n">
        <v>21</v>
      </c>
      <c r="D29" s="25" t="inlineStr">
        <is>
          <t>لمى منصر صالح عبدالله شبثان</t>
        </is>
      </c>
      <c r="E29" s="6" t="n">
        <v>70</v>
      </c>
      <c r="F29" s="8" t="n">
        <v>19</v>
      </c>
      <c r="G29" s="16" t="n">
        <v>89</v>
      </c>
      <c r="H29" s="79" t="n">
        <v>90</v>
      </c>
      <c r="I29" s="26" t="n"/>
    </row>
    <row r="30">
      <c r="A30" s="50" t="n"/>
      <c r="B30" s="22" t="n">
        <v>22</v>
      </c>
      <c r="C30" s="22" t="n">
        <v>22</v>
      </c>
      <c r="D30" s="25" t="inlineStr">
        <is>
          <t>محمد خالد سالم سلطان الكعبى</t>
        </is>
      </c>
      <c r="E30" s="6" t="n">
        <v>80</v>
      </c>
      <c r="F30" s="8" t="n">
        <v>19</v>
      </c>
      <c r="G30" s="16" t="n">
        <v>99</v>
      </c>
      <c r="H30" s="79" t="n">
        <v>89</v>
      </c>
      <c r="I30" s="26" t="n"/>
    </row>
    <row r="31">
      <c r="A31" s="50" t="n"/>
      <c r="B31" s="22" t="n">
        <v>23</v>
      </c>
      <c r="C31" s="22" t="n">
        <v>23</v>
      </c>
      <c r="D31" s="25" t="inlineStr">
        <is>
          <t>محمد خميس راشد سعيد الظاهري</t>
        </is>
      </c>
      <c r="E31" s="6" t="n">
        <v>69</v>
      </c>
      <c r="F31" s="8" t="n">
        <v>20</v>
      </c>
      <c r="G31" s="16" t="n">
        <v>89</v>
      </c>
      <c r="H31" s="79" t="n">
        <v>89</v>
      </c>
      <c r="I31" s="26" t="n"/>
    </row>
    <row r="32">
      <c r="A32" s="50" t="n"/>
      <c r="B32" s="22" t="n">
        <v>24</v>
      </c>
      <c r="C32" s="22" t="n">
        <v>24</v>
      </c>
      <c r="D32" s="25" t="inlineStr">
        <is>
          <t>مزنه احمد اسماعيل علي البلوشي</t>
        </is>
      </c>
      <c r="E32" s="6" t="n">
        <v>80</v>
      </c>
      <c r="F32" s="8" t="n">
        <v>18</v>
      </c>
      <c r="G32" s="16" t="n">
        <v>98</v>
      </c>
      <c r="H32" s="79" t="n">
        <v>80</v>
      </c>
      <c r="I32" s="26" t="n"/>
    </row>
    <row r="33">
      <c r="A33" s="50" t="n"/>
      <c r="B33" s="22" t="n">
        <v>25</v>
      </c>
      <c r="C33" s="22" t="n">
        <v>25</v>
      </c>
      <c r="D33" s="25" t="inlineStr">
        <is>
          <t>ميره ابراهيم حسن احمد البلوشي</t>
        </is>
      </c>
      <c r="E33" s="6" t="n">
        <v>63</v>
      </c>
      <c r="F33" s="8" t="n">
        <v>20</v>
      </c>
      <c r="G33" s="16" t="n">
        <v>83</v>
      </c>
      <c r="H33" s="79" t="n">
        <v>77</v>
      </c>
      <c r="I33" s="26" t="n"/>
    </row>
    <row r="34">
      <c r="A34" s="50" t="n"/>
      <c r="B34" s="22" t="n">
        <v>26</v>
      </c>
      <c r="C34" s="22" t="n">
        <v>26</v>
      </c>
      <c r="D34" s="25" t="inlineStr">
        <is>
          <t>ميره محمد عبيد راشد الظاهري</t>
        </is>
      </c>
      <c r="E34" s="6" t="n">
        <v>61</v>
      </c>
      <c r="F34" s="8" t="n">
        <v>20</v>
      </c>
      <c r="G34" s="16" t="n">
        <v>81</v>
      </c>
      <c r="H34" s="79" t="n">
        <v>80</v>
      </c>
      <c r="I34" s="26" t="n"/>
    </row>
    <row r="35">
      <c r="A35" s="50" t="n"/>
      <c r="B35" s="22" t="n">
        <v>27</v>
      </c>
      <c r="C35" s="22" t="n">
        <v>27</v>
      </c>
      <c r="D35" s="25" t="inlineStr">
        <is>
          <t>هند عبيد جابر عظيمان الاحبابي</t>
        </is>
      </c>
      <c r="E35" s="6" t="n">
        <v>80</v>
      </c>
      <c r="F35" s="8" t="n">
        <v>18</v>
      </c>
      <c r="G35" s="16" t="n">
        <v>98</v>
      </c>
      <c r="H35" s="79" t="n">
        <v>74</v>
      </c>
      <c r="I35" s="26" t="n"/>
    </row>
    <row r="36">
      <c r="A36" s="50" t="n"/>
      <c r="B36" s="22" t="n">
        <v>28</v>
      </c>
      <c r="C36" s="22" t="n">
        <v>28</v>
      </c>
      <c r="D36" s="25" t="inlineStr">
        <is>
          <t>هند محمد عمر مبارك الصيعري</t>
        </is>
      </c>
      <c r="E36" s="6" t="n">
        <v>64</v>
      </c>
      <c r="F36" s="8" t="n">
        <v>18</v>
      </c>
      <c r="G36" s="16" t="n">
        <v>82</v>
      </c>
      <c r="H36" s="79" t="n">
        <v>83</v>
      </c>
      <c r="I36" s="26" t="n"/>
    </row>
    <row r="37">
      <c r="A37" s="50" t="n"/>
      <c r="B37" s="22" t="n">
        <v>29</v>
      </c>
      <c r="C37" s="22" t="n">
        <v>29</v>
      </c>
      <c r="D37" s="25" t="inlineStr">
        <is>
          <t>هند محمد يسلم عوض الصيعري</t>
        </is>
      </c>
      <c r="E37" s="6" t="n">
        <v>80</v>
      </c>
      <c r="F37" s="8" t="n">
        <v>19</v>
      </c>
      <c r="G37" s="16" t="n">
        <v>99</v>
      </c>
      <c r="H37" s="79" t="n">
        <v>77</v>
      </c>
      <c r="I37" s="26" t="n"/>
    </row>
    <row r="38">
      <c r="A38" s="50" t="n"/>
      <c r="B38" s="22" t="n"/>
      <c r="C38" s="22" t="n"/>
      <c r="D38" s="25" t="n"/>
      <c r="E38" s="6" t="n"/>
      <c r="F38" s="8" t="n"/>
      <c r="G38" s="16" t="n"/>
      <c r="H38" s="79" t="n"/>
      <c r="I38" s="26" t="n"/>
    </row>
    <row r="39">
      <c r="A39" s="50" t="n"/>
      <c r="B39" s="22" t="n"/>
      <c r="C39" s="22" t="n"/>
      <c r="D39" s="25" t="n"/>
      <c r="E39" s="6" t="n"/>
      <c r="F39" s="8" t="n"/>
      <c r="G39" s="16" t="n"/>
      <c r="H39" s="79" t="n"/>
      <c r="I39" s="26" t="n"/>
    </row>
    <row r="40">
      <c r="A40" s="50" t="n"/>
      <c r="B40" s="22" t="n"/>
      <c r="C40" s="22" t="n"/>
      <c r="D40" s="25" t="n"/>
      <c r="E40" s="6" t="n"/>
      <c r="F40" s="8" t="n"/>
      <c r="G40" s="16" t="n"/>
      <c r="H40" s="79" t="n"/>
      <c r="I40" s="26" t="n"/>
    </row>
    <row r="41">
      <c r="A41" s="50" t="n"/>
      <c r="B41" s="22" t="n"/>
      <c r="C41" s="22" t="n"/>
      <c r="D41" s="25" t="n"/>
      <c r="E41" s="6" t="n"/>
      <c r="F41" s="8" t="n"/>
      <c r="G41" s="16" t="n"/>
      <c r="H41" s="79" t="n"/>
      <c r="I41" s="26" t="n"/>
    </row>
    <row r="42">
      <c r="A42" s="50" t="n"/>
      <c r="B42" s="22" t="n"/>
      <c r="C42" s="22" t="n"/>
      <c r="D42" s="25" t="n"/>
      <c r="E42" s="6" t="n"/>
      <c r="F42" s="8" t="n"/>
      <c r="G42" s="16" t="n"/>
      <c r="H42" s="79" t="n"/>
      <c r="I42" s="26" t="n"/>
    </row>
    <row r="43">
      <c r="A43" s="50" t="n"/>
      <c r="B43" s="22" t="n"/>
      <c r="C43" s="22" t="n"/>
      <c r="D43" s="25" t="n"/>
      <c r="E43" s="6" t="n"/>
      <c r="F43" s="8" t="n"/>
      <c r="G43" s="16" t="n"/>
      <c r="H43" s="79" t="n"/>
      <c r="I43" s="26" t="n"/>
    </row>
    <row r="44">
      <c r="A44" s="50" t="n"/>
      <c r="B44" s="22" t="n"/>
      <c r="C44" s="22" t="n"/>
      <c r="D44" s="25" t="n"/>
      <c r="E44" s="6" t="n"/>
      <c r="F44" s="8" t="n"/>
      <c r="G44" s="16" t="n"/>
      <c r="H44" s="79" t="n"/>
      <c r="I44" s="26" t="n"/>
    </row>
    <row r="45">
      <c r="A45" s="50" t="n"/>
      <c r="B45" s="22" t="n"/>
      <c r="C45" s="22" t="n"/>
      <c r="D45" s="25" t="n"/>
      <c r="E45" s="6" t="n"/>
      <c r="F45" s="8" t="n"/>
      <c r="G45" s="16" t="n"/>
      <c r="H45" s="79" t="n"/>
      <c r="I45" s="26" t="n"/>
    </row>
    <row r="46">
      <c r="A46" s="50" t="n"/>
      <c r="B46" s="22" t="n"/>
      <c r="C46" s="22" t="n"/>
      <c r="D46" s="25" t="n"/>
      <c r="E46" s="6" t="n"/>
      <c r="F46" s="8" t="n"/>
      <c r="G46" s="16" t="n"/>
      <c r="H46" s="79" t="n"/>
      <c r="I46" s="26" t="n"/>
    </row>
    <row r="47">
      <c r="A47" s="50" t="n"/>
      <c r="B47" s="22" t="n"/>
      <c r="C47" s="22" t="n"/>
      <c r="D47" s="25" t="n"/>
      <c r="E47" s="6" t="n"/>
      <c r="F47" s="8" t="n"/>
      <c r="G47" s="16" t="n"/>
      <c r="H47" s="79" t="n"/>
      <c r="I47" s="26" t="n"/>
    </row>
    <row r="48">
      <c r="A48" s="50" t="n"/>
      <c r="B48" s="22" t="n"/>
      <c r="C48" s="22" t="n"/>
      <c r="D48" s="25" t="n"/>
      <c r="E48" s="6" t="n"/>
      <c r="F48" s="8" t="n"/>
      <c r="G48" s="16" t="n"/>
      <c r="H48" s="79" t="n"/>
      <c r="I48" s="26" t="n"/>
    </row>
    <row r="49">
      <c r="A49" s="50" t="n"/>
      <c r="B49" s="22" t="n"/>
      <c r="C49" s="22" t="n"/>
      <c r="D49" s="25" t="n"/>
      <c r="E49" s="6" t="n"/>
      <c r="F49" s="8" t="n"/>
      <c r="G49" s="16" t="n"/>
      <c r="H49" s="79" t="n"/>
      <c r="I49" s="26" t="n"/>
    </row>
    <row r="50">
      <c r="A50" s="50" t="n"/>
      <c r="B50" s="22" t="n"/>
      <c r="C50" s="22" t="n"/>
      <c r="D50" s="25" t="n"/>
      <c r="E50" s="6" t="n"/>
      <c r="F50" s="8" t="n"/>
      <c r="G50" s="16" t="n"/>
      <c r="H50" s="79" t="n"/>
      <c r="I50" s="26" t="n"/>
    </row>
    <row r="51">
      <c r="A51" s="50" t="n"/>
      <c r="B51" s="22" t="n"/>
      <c r="C51" s="22" t="n"/>
      <c r="D51" s="25" t="n"/>
      <c r="E51" s="6" t="n"/>
      <c r="F51" s="8" t="n"/>
      <c r="G51" s="16" t="n"/>
      <c r="H51" s="79" t="n"/>
      <c r="I51" s="26" t="n"/>
    </row>
    <row r="52">
      <c r="A52" s="50" t="n"/>
      <c r="B52" s="22" t="n"/>
      <c r="C52" s="22" t="n"/>
      <c r="D52" s="25" t="n"/>
      <c r="E52" s="6" t="n"/>
      <c r="F52" s="8" t="n"/>
      <c r="G52" s="16" t="n"/>
      <c r="H52" s="79" t="n"/>
      <c r="I52" s="26" t="n"/>
    </row>
    <row r="53">
      <c r="A53" s="50" t="n"/>
      <c r="B53" s="22" t="n"/>
      <c r="C53" s="22" t="n"/>
      <c r="D53" s="25" t="n"/>
      <c r="E53" s="6" t="n"/>
      <c r="F53" s="8" t="n"/>
      <c r="G53" s="16" t="n"/>
      <c r="H53" s="79" t="n"/>
      <c r="I53" s="26" t="n"/>
    </row>
    <row r="54">
      <c r="A54" s="50" t="n"/>
      <c r="B54" s="22" t="n"/>
      <c r="C54" s="22" t="n"/>
      <c r="D54" s="25" t="n"/>
      <c r="E54" s="6" t="n"/>
      <c r="F54" s="8" t="n"/>
      <c r="G54" s="16" t="n"/>
      <c r="H54" s="79" t="n"/>
      <c r="I54" s="26" t="n"/>
    </row>
    <row r="55">
      <c r="A55" s="50" t="n"/>
      <c r="B55" s="22" t="n"/>
      <c r="C55" s="22" t="n"/>
      <c r="D55" s="25" t="n"/>
      <c r="E55" s="6" t="n"/>
      <c r="F55" s="8" t="n"/>
      <c r="G55" s="16" t="n"/>
      <c r="H55" s="79" t="n"/>
      <c r="I55" s="26" t="n"/>
    </row>
    <row r="56">
      <c r="A56" s="50" t="n"/>
      <c r="B56" s="22" t="n"/>
      <c r="C56" s="22" t="n"/>
      <c r="D56" s="25" t="n"/>
      <c r="E56" s="6" t="n"/>
      <c r="F56" s="8" t="n"/>
      <c r="G56" s="16" t="n"/>
      <c r="H56" s="79" t="n"/>
      <c r="I56" s="26" t="n"/>
    </row>
    <row r="57">
      <c r="A57" s="50" t="n"/>
      <c r="B57" s="22" t="n"/>
      <c r="C57" s="22" t="n"/>
      <c r="D57" s="25" t="n"/>
      <c r="E57" s="6" t="n"/>
      <c r="F57" s="8" t="n"/>
      <c r="G57" s="16" t="n"/>
      <c r="H57" s="79" t="n"/>
      <c r="I57" s="26" t="n"/>
    </row>
    <row r="58">
      <c r="A58" s="50" t="n"/>
      <c r="B58" s="22" t="n"/>
      <c r="C58" s="22" t="n"/>
      <c r="D58" s="25" t="n"/>
      <c r="E58" s="6" t="n"/>
      <c r="F58" s="8" t="n"/>
      <c r="G58" s="16" t="n"/>
      <c r="H58" s="79" t="n"/>
      <c r="I58" s="26" t="n"/>
    </row>
    <row r="59">
      <c r="A59" s="50" t="n"/>
      <c r="B59" s="50" t="n"/>
      <c r="C59" s="50" t="n"/>
      <c r="D59" s="50" t="n"/>
      <c r="E59" s="50" t="n"/>
      <c r="F59" s="50" t="n"/>
      <c r="G59" s="50" t="n"/>
      <c r="H59" s="50" t="n"/>
      <c r="I59" s="26" t="n"/>
    </row>
  </sheetData>
  <mergeCells count="5">
    <mergeCell ref="A5:C5"/>
    <mergeCell ref="A6:C6"/>
    <mergeCell ref="A3:C3"/>
    <mergeCell ref="A4:C4"/>
    <mergeCell ref="A2:C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Duaa.Abdelrazaq@ese.gov.ae</dc:creator>
  <dcterms:created xsi:type="dcterms:W3CDTF">2020-08-25T06:36:06Z</dcterms:created>
  <dcterms:modified xsi:type="dcterms:W3CDTF">2026-06-09T09:10:45Z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0x010100A60D5AF4C96FC943BE69E732BE0FA005</vt:lpwstr>
  </property>
  <property name="MediaServiceImageTags" fmtid="{D5CDD505-2E9C-101B-9397-08002B2CF9AE}" pid="3">
    <vt:lpwstr/>
  </property>
</Properties>
</file>